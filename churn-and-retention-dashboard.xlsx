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hidePivotFieldList="1"/>
  <mc:AlternateContent xmlns:mc="http://schemas.openxmlformats.org/markup-compatibility/2006">
    <mc:Choice Requires="x15">
      <x15ac:absPath xmlns:x15ac="http://schemas.microsoft.com/office/spreadsheetml/2010/11/ac" url="C:\Users\Michał\Documents\Projects\1\Github_1\"/>
    </mc:Choice>
  </mc:AlternateContent>
  <xr:revisionPtr revIDLastSave="0" documentId="13_ncr:1_{9852E7DF-1003-4AE9-BA52-9FF1340CB8E8}" xr6:coauthVersionLast="47" xr6:coauthVersionMax="47" xr10:uidLastSave="{00000000-0000-0000-0000-000000000000}"/>
  <bookViews>
    <workbookView xWindow="-21710" yWindow="-8280" windowWidth="21820" windowHeight="37900" xr2:uid="{00000000-000D-0000-FFFF-FFFF00000000}"/>
  </bookViews>
  <sheets>
    <sheet name="Analytics" sheetId="4" r:id="rId1"/>
    <sheet name="factTransactions" sheetId="3" r:id="rId2"/>
    <sheet name="dimClients" sheetId="2" r:id="rId3"/>
  </sheets>
  <definedNames>
    <definedName name="_xlcn.WorksheetConnection_projekt1.xlsxdimClients1" hidden="1">dimClients[]</definedName>
    <definedName name="_xlcn.WorksheetConnection_projekt1.xlsxfactTransactions1" hidden="1">factTransactions[]</definedName>
    <definedName name="_xlcn.WorksheetConnection_projekt1.xlsxTable31" hidden="1">When_Churn_status[]</definedName>
    <definedName name="_xlcn.WorksheetConnection_projekt1.xlsxTable41" hidden="1">When_Win_back_status[]</definedName>
    <definedName name="_xlcn.WorksheetConnection_projekt1.xlsxTable61" hidden="1">When_Active_status[]</definedName>
    <definedName name="ExternalData_1" localSheetId="2" hidden="1">dimClients!$A$1:$F$21</definedName>
    <definedName name="ExternalData_2" localSheetId="1" hidden="1">factTransactions!$A$1:$F$51</definedName>
    <definedName name="Slicer_AcquisitionChannel">#N/A</definedName>
    <definedName name="Slicer_CustomerID">#N/A</definedName>
    <definedName name="Slicer_ProductCategory">#N/A</definedName>
  </definedNames>
  <calcPr calcId="191029"/>
  <pivotCaches>
    <pivotCache cacheId="93" r:id="rId4"/>
  </pivotCaches>
  <extLst>
    <ext xmlns:x14="http://schemas.microsoft.com/office/spreadsheetml/2009/9/main" uri="{876F7934-8845-4945-9796-88D515C7AA90}">
      <x14:pivotCaches>
        <pivotCache cacheId="92" r:id="rId5"/>
      </x14:pivotCaches>
    </ex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When_Active_status" connection="WorksheetConnection_projekt 1.xlsx!Table6"/>
          <x15:modelTable id="Table4" name="When_Win_back_status" connection="WorksheetConnection_projekt 1.xlsx!Table4"/>
          <x15:modelTable id="Table3" name="When Churn status" connection="WorksheetConnection_projekt 1.xlsx!Table3"/>
          <x15:modelTable id="factTransactions" name="factTransactions" connection="WorksheetConnection_projekt 1.xlsx!factTransactions"/>
          <x15:modelTable id="dimClients" name="dimClients" connection="WorksheetConnection_projekt 1.xlsx!dimClients"/>
          <x15:modelTable id="Calendar" name="Calendar" connection="Connection"/>
        </x15:modelTables>
        <x15:modelRelationships>
          <x15:modelRelationship fromTable="factTransactions" fromColumn="CustomerID" toTable="dimClients" toColumn="CustomerID"/>
          <x15:modelRelationship fromTable="factTransactions" fromColumn="Purchase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F5F1C9-6BB0-4E97-AD4A-8EC4EEC4DA90}" name="Connection" type="104" refreshedVersion="0" background="1">
    <extLst>
      <ext xmlns:x15="http://schemas.microsoft.com/office/spreadsheetml/2010/11/main" uri="{DE250136-89BD-433C-8126-D09CA5730AF9}">
        <x15:connection id="Calendar"/>
      </ext>
    </extLst>
  </connection>
  <connection id="2" xr16:uid="{0648C159-543E-4FEB-A607-8765140F1098}" keepAlive="1" name="Query - dimClients" description="Connection to the 'dimClients' query in the workbook." type="5" refreshedVersion="8" background="1" saveData="1">
    <dbPr connection="Provider=Microsoft.Mashup.OleDb.1;Data Source=$Workbook$;Location=dimClients;Extended Properties=&quot;&quot;" command="SELECT * FROM [dimClients]"/>
  </connection>
  <connection id="3" xr16:uid="{A3128BB0-8F50-41E0-A73C-D670998C5731}" keepAlive="1" name="Query - dimClients - data source" description="Connection to the 'dimClients - data source' query in the workbook." type="5" refreshedVersion="0" background="1">
    <dbPr connection="Provider=Microsoft.Mashup.OleDb.1;Data Source=$Workbook$;Location=&quot;dimClients - data source&quot;;Extended Properties=&quot;&quot;" command="SELECT * FROM [dimClients - data source]"/>
  </connection>
  <connection id="4" xr16:uid="{904E2FDA-FD03-4EE1-ABC3-4F79AF45A6E0}" keepAlive="1" name="Query - factTransactions" description="Connection to the 'factTransactions' query in the workbook." type="5" refreshedVersion="8" background="1" saveData="1">
    <dbPr connection="Provider=Microsoft.Mashup.OleDb.1;Data Source=$Workbook$;Location=factTransactions;Extended Properties=&quot;&quot;" command="SELECT * FROM [factTransactions]"/>
  </connection>
  <connection id="5" xr16:uid="{3E05261F-5810-4AB6-99F0-8542C0EFD475}" keepAlive="1" name="Query - factTransactions - data source" description="Connection to the 'factTransactions - data source' query in the workbook." type="5" refreshedVersion="0" background="1">
    <dbPr connection="Provider=Microsoft.Mashup.OleDb.1;Data Source=$Workbook$;Location=&quot;factTransactions - data source&quot;;Extended Properties=&quot;&quot;" command="SELECT * FROM [factTransactions - data source]"/>
  </connection>
  <connection id="6" xr16:uid="{88B2B9A7-F671-47FA-B1BA-147753B8DBF3}" keepAlive="1" name="Query - FolderPath" description="Connection to the 'FolderPath' query in the workbook." type="5" refreshedVersion="0" background="1">
    <dbPr connection="Provider=Microsoft.Mashup.OleDb.1;Data Source=$Workbook$;Location=FolderPath;Extended Properties=&quot;&quot;" command="SELECT * FROM [FolderPath]"/>
  </connection>
  <connection id="7" xr16:uid="{88B0CF24-AC10-4CD1-988B-0ED04891A2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25CDCE17-81FE-486F-9AA7-187C3C7CE708}" name="WorksheetConnection_projekt 1.xlsx!dimClients" type="102" refreshedVersion="8" minRefreshableVersion="5">
    <extLst>
      <ext xmlns:x15="http://schemas.microsoft.com/office/spreadsheetml/2010/11/main" uri="{DE250136-89BD-433C-8126-D09CA5730AF9}">
        <x15:connection id="dimClients">
          <x15:rangePr sourceName="_xlcn.WorksheetConnection_projekt1.xlsxdimClients1"/>
        </x15:connection>
      </ext>
    </extLst>
  </connection>
  <connection id="9" xr16:uid="{7D7F19DB-6140-438E-9210-56AEADEF2919}" name="WorksheetConnection_projekt 1.xlsx!factTransactions" type="102" refreshedVersion="8" minRefreshableVersion="5">
    <extLst>
      <ext xmlns:x15="http://schemas.microsoft.com/office/spreadsheetml/2010/11/main" uri="{DE250136-89BD-433C-8126-D09CA5730AF9}">
        <x15:connection id="factTransactions">
          <x15:rangePr sourceName="_xlcn.WorksheetConnection_projekt1.xlsxfactTransactions1"/>
        </x15:connection>
      </ext>
    </extLst>
  </connection>
  <connection id="10" xr16:uid="{6592A7FA-D3DF-45A6-A87E-F00FED30D4EB}" name="WorksheetConnection_projekt 1.xlsx!Table3" type="102" refreshedVersion="8" minRefreshableVersion="5">
    <extLst>
      <ext xmlns:x15="http://schemas.microsoft.com/office/spreadsheetml/2010/11/main" uri="{DE250136-89BD-433C-8126-D09CA5730AF9}">
        <x15:connection id="Table3">
          <x15:rangePr sourceName="_xlcn.WorksheetConnection_projekt1.xlsxTable31"/>
        </x15:connection>
      </ext>
    </extLst>
  </connection>
  <connection id="11" xr16:uid="{5721471E-BE04-4D66-BC08-88EACE27E6F5}" name="WorksheetConnection_projekt 1.xlsx!Table4" type="102" refreshedVersion="8" minRefreshableVersion="5">
    <extLst>
      <ext xmlns:x15="http://schemas.microsoft.com/office/spreadsheetml/2010/11/main" uri="{DE250136-89BD-433C-8126-D09CA5730AF9}">
        <x15:connection id="Table4">
          <x15:rangePr sourceName="_xlcn.WorksheetConnection_projekt1.xlsxTable41"/>
        </x15:connection>
      </ext>
    </extLst>
  </connection>
  <connection id="12" xr16:uid="{9491FE47-C11A-4595-B9D9-8A57D201865E}" name="WorksheetConnection_projekt 1.xlsx!Table6" type="102" refreshedVersion="8" minRefreshableVersion="5">
    <extLst>
      <ext xmlns:x15="http://schemas.microsoft.com/office/spreadsheetml/2010/11/main" uri="{DE250136-89BD-433C-8126-D09CA5730AF9}">
        <x15:connection id="Table6">
          <x15:rangePr sourceName="_xlcn.WorksheetConnection_projekt1.xlsxTable61"/>
        </x15:connection>
      </ext>
    </extLst>
  </connection>
</connections>
</file>

<file path=xl/sharedStrings.xml><?xml version="1.0" encoding="utf-8"?>
<sst xmlns="http://schemas.openxmlformats.org/spreadsheetml/2006/main" count="342" uniqueCount="105">
  <si>
    <t>K001</t>
  </si>
  <si>
    <t>Google Ads</t>
  </si>
  <si>
    <t>K002</t>
  </si>
  <si>
    <t>Organic</t>
  </si>
  <si>
    <t>M</t>
  </si>
  <si>
    <t>K003</t>
  </si>
  <si>
    <t>Facebook</t>
  </si>
  <si>
    <t>K004</t>
  </si>
  <si>
    <t>Affiliate</t>
  </si>
  <si>
    <t>K005</t>
  </si>
  <si>
    <t>K006</t>
  </si>
  <si>
    <t>K007</t>
  </si>
  <si>
    <t>K008</t>
  </si>
  <si>
    <t>K009</t>
  </si>
  <si>
    <t>K010</t>
  </si>
  <si>
    <t>K011</t>
  </si>
  <si>
    <t>K012</t>
  </si>
  <si>
    <t>K013</t>
  </si>
  <si>
    <t>K014</t>
  </si>
  <si>
    <t>K015</t>
  </si>
  <si>
    <t>K016</t>
  </si>
  <si>
    <t>K017</t>
  </si>
  <si>
    <t>K018</t>
  </si>
  <si>
    <t>K019</t>
  </si>
  <si>
    <t>K020</t>
  </si>
  <si>
    <t>CustomerID</t>
  </si>
  <si>
    <t>RegistrationDate</t>
  </si>
  <si>
    <t>AcquisitionChannel</t>
  </si>
  <si>
    <t>CAC_Cost_PLN</t>
  </si>
  <si>
    <t>Gender</t>
  </si>
  <si>
    <t>MarketingConsent</t>
  </si>
  <si>
    <t>F</t>
  </si>
  <si>
    <t>Yes</t>
  </si>
  <si>
    <t>No</t>
  </si>
  <si>
    <t>TransactionID</t>
  </si>
  <si>
    <t>PurchaseDate</t>
  </si>
  <si>
    <t>Amount_PLN</t>
  </si>
  <si>
    <t>ProductCategory</t>
  </si>
  <si>
    <t>OrderStatus</t>
  </si>
  <si>
    <t>T1001</t>
  </si>
  <si>
    <t>Electronics</t>
  </si>
  <si>
    <t>Completed</t>
  </si>
  <si>
    <t>T1002</t>
  </si>
  <si>
    <t>Accessories</t>
  </si>
  <si>
    <t>T1003</t>
  </si>
  <si>
    <t>T1004</t>
  </si>
  <si>
    <t>Beauty</t>
  </si>
  <si>
    <t>T1005</t>
  </si>
  <si>
    <t>Returned</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</si>
  <si>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</si>
  <si>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</si>
  <si>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</si>
  <si>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</si>
  <si>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</si>
  <si>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</si>
  <si>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</si>
  <si>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</si>
  <si>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</si>
  <si>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</si>
  <si>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</si>
  <si>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</si>
  <si>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</si>
  <si>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</si>
  <si>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</si>
  <si>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</si>
  <si>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</si>
  <si>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</si>
  <si>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</si>
  <si>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</si>
  <si>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</si>
  <si>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</si>
  <si>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</si>
  <si>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</si>
  <si>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</si>
  <si>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</si>
  <si>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</si>
  <si>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</si>
  <si>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</si>
  <si>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</si>
  <si>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</si>
  <si>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</si>
  <si>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</si>
  <si>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</si>
  <si>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</si>
  <si>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</si>
  <si>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</si>
  <si>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</si>
  <si>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</si>
  <si>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</si>
  <si>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</si>
  <si>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</si>
  <si>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</si>
  <si>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</si>
  <si>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</si>
  <si>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Row Labels</t>
  </si>
  <si>
    <t>Grand Total</t>
  </si>
  <si>
    <t>Active</t>
  </si>
  <si>
    <t>Churn</t>
  </si>
  <si>
    <t>When Win-back status</t>
  </si>
  <si>
    <t>When Churn status</t>
  </si>
  <si>
    <t>When Active status</t>
  </si>
  <si>
    <t>Refresh Pivot Table</t>
  </si>
  <si>
    <t>Risk status</t>
  </si>
  <si>
    <t>Risk status KPI</t>
  </si>
  <si>
    <t>AVG LTV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</si>
</sst>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horizontal="center" vertical="center"/>
    </xf>
    <xf numFmtId="0" fontId="0" fillId="0" borderId="0" xfId="0" applyAlignment="1">
      <alignment wrapText="1"/>
    </xf>
  </cellXfs>
  <cellStyles count="1">
    <cellStyle name="Normal" xfId="0" builtinId="0"/>
  </cellStyles>
  <dxfs count="12">
    <dxf>
      <alignment horizontal="center"/>
    </dxf>
    <dxf>
      <alignment vertical="center"/>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19" formatCode="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21" Type="http://schemas.openxmlformats.org/officeDocument/2006/relationships/customXml" Target="../customXml/item7.xml"/><Relationship Id="rId34" Type="http://schemas.openxmlformats.org/officeDocument/2006/relationships/customXml" Target="../customXml/item20.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37" Type="http://schemas.openxmlformats.org/officeDocument/2006/relationships/customXml" Target="../customXml/item23.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microsoft.com/office/2007/relationships/slicerCache" Target="slicerCaches/slicerCache3.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13</xdr:col>
      <xdr:colOff>473075</xdr:colOff>
      <xdr:row>5</xdr:row>
      <xdr:rowOff>120650</xdr:rowOff>
    </xdr:from>
    <xdr:to>
      <xdr:col>16</xdr:col>
      <xdr:colOff>479425</xdr:colOff>
      <xdr:row>18</xdr:row>
      <xdr:rowOff>174625</xdr:rowOff>
    </xdr:to>
    <mc:AlternateContent xmlns:mc="http://schemas.openxmlformats.org/markup-compatibility/2006" xmlns:a14="http://schemas.microsoft.com/office/drawing/2010/main">
      <mc:Choice Requires="a14">
        <xdr:graphicFrame macro="">
          <xdr:nvGraphicFramePr>
            <xdr:cNvPr id="3" name="AcquisitionChannel">
              <a:extLst>
                <a:ext uri="{FF2B5EF4-FFF2-40B4-BE49-F238E27FC236}">
                  <a16:creationId xmlns:a16="http://schemas.microsoft.com/office/drawing/2014/main" id="{F81B9C34-5251-870F-F74F-CD79AC2324AD}"/>
                </a:ext>
              </a:extLst>
            </xdr:cNvPr>
            <xdr:cNvGraphicFramePr/>
          </xdr:nvGraphicFramePr>
          <xdr:xfrm>
            <a:off x="0" y="0"/>
            <a:ext cx="0" cy="0"/>
          </xdr:xfrm>
          <a:graphic>
            <a:graphicData uri="http://schemas.microsoft.com/office/drawing/2010/slicer">
              <sle:slicer xmlns:sle="http://schemas.microsoft.com/office/drawing/2010/slicer" name="AcquisitionChannel"/>
            </a:graphicData>
          </a:graphic>
        </xdr:graphicFrame>
      </mc:Choice>
      <mc:Fallback xmlns="">
        <xdr:sp macro="" textlink="">
          <xdr:nvSpPr>
            <xdr:cNvPr id="0" name=""/>
            <xdr:cNvSpPr>
              <a:spLocks noTextEdit="1"/>
            </xdr:cNvSpPr>
          </xdr:nvSpPr>
          <xdr:spPr>
            <a:xfrm>
              <a:off x="9496425" y="1076325"/>
              <a:ext cx="1835150" cy="252730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5</xdr:row>
      <xdr:rowOff>136525</xdr:rowOff>
    </xdr:from>
    <xdr:to>
      <xdr:col>13</xdr:col>
      <xdr:colOff>342900</xdr:colOff>
      <xdr:row>18</xdr:row>
      <xdr:rowOff>180975</xdr:rowOff>
    </xdr:to>
    <mc:AlternateContent xmlns:mc="http://schemas.openxmlformats.org/markup-compatibility/2006" xmlns:a14="http://schemas.microsoft.com/office/drawing/2010/main">
      <mc:Choice Requires="a14">
        <xdr:graphicFrame macro="">
          <xdr:nvGraphicFramePr>
            <xdr:cNvPr id="4" name="ProductCategory">
              <a:extLst>
                <a:ext uri="{FF2B5EF4-FFF2-40B4-BE49-F238E27FC236}">
                  <a16:creationId xmlns:a16="http://schemas.microsoft.com/office/drawing/2014/main" id="{F2F106DC-7C28-9053-4310-F7ED4A84F85A}"/>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7537450" y="1089025"/>
              <a:ext cx="1828800" cy="252730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255814</xdr:colOff>
      <xdr:row>5</xdr:row>
      <xdr:rowOff>155121</xdr:rowOff>
    </xdr:from>
    <xdr:to>
      <xdr:col>10</xdr:col>
      <xdr:colOff>247649</xdr:colOff>
      <xdr:row>19</xdr:row>
      <xdr:rowOff>12246</xdr:rowOff>
    </xdr:to>
    <mc:AlternateContent xmlns:mc="http://schemas.openxmlformats.org/markup-compatibility/2006" xmlns:a14="http://schemas.microsoft.com/office/drawing/2010/main">
      <mc:Choice Requires="a14">
        <xdr:graphicFrame macro="">
          <xdr:nvGraphicFramePr>
            <xdr:cNvPr id="5" name="CustomerID">
              <a:extLst>
                <a:ext uri="{FF2B5EF4-FFF2-40B4-BE49-F238E27FC236}">
                  <a16:creationId xmlns:a16="http://schemas.microsoft.com/office/drawing/2014/main" id="{74F9D43F-EF4C-B1BF-07A0-DCB9A28C1138}"/>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mlns="">
        <xdr:sp macro="" textlink="">
          <xdr:nvSpPr>
            <xdr:cNvPr id="0" name=""/>
            <xdr:cNvSpPr>
              <a:spLocks noTextEdit="1"/>
            </xdr:cNvSpPr>
          </xdr:nvSpPr>
          <xdr:spPr>
            <a:xfrm>
              <a:off x="5344885" y="1107621"/>
              <a:ext cx="1828800" cy="252412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ł Foit" refreshedDate="46127.113984490737" backgroundQuery="1" createdVersion="8" refreshedVersion="8" minRefreshableVersion="3" recordCount="0" supportSubquery="1" supportAdvancedDrill="1" xr:uid="{06F61D44-8DA5-43B4-86B1-B66803D1DC85}">
  <cacheSource type="external" connectionId="7"/>
  <cacheFields count="7">
    <cacheField name="[dimClients].[CustomerID].[CustomerID]" caption="CustomerID" numFmtId="0" hierarchy="8" level="1">
      <sharedItems count="20">
        <s v="K001"/>
        <s v="K002"/>
        <s v="K003"/>
        <s v="K004"/>
        <s v="K005"/>
        <s v="K006"/>
        <s v="K007"/>
        <s v="K008"/>
        <s v="K009"/>
        <s v="K010"/>
        <s v="K011"/>
        <s v="K012"/>
        <s v="K013"/>
        <s v="K014"/>
        <s v="K015"/>
        <s v="K016"/>
        <s v="K017"/>
        <s v="K018"/>
        <s v="K019"/>
        <s v="K020"/>
      </sharedItems>
      <extLst>
        <ext xmlns:x15="http://schemas.microsoft.com/office/spreadsheetml/2010/11/main" uri="{4F2E5C28-24EA-4eb8-9CBF-B6C8F9C3D259}">
          <x15:cachedUniqueNames>
            <x15:cachedUniqueName index="0" name="[dimClients].[CustomerID].&amp;[K001]"/>
            <x15:cachedUniqueName index="1" name="[dimClients].[CustomerID].&amp;[K002]"/>
            <x15:cachedUniqueName index="2" name="[dimClients].[CustomerID].&amp;[K003]"/>
            <x15:cachedUniqueName index="3" name="[dimClients].[CustomerID].&amp;[K004]"/>
            <x15:cachedUniqueName index="4" name="[dimClients].[CustomerID].&amp;[K005]"/>
            <x15:cachedUniqueName index="5" name="[dimClients].[CustomerID].&amp;[K006]"/>
            <x15:cachedUniqueName index="6" name="[dimClients].[CustomerID].&amp;[K007]"/>
            <x15:cachedUniqueName index="7" name="[dimClients].[CustomerID].&amp;[K008]"/>
            <x15:cachedUniqueName index="8" name="[dimClients].[CustomerID].&amp;[K009]"/>
            <x15:cachedUniqueName index="9" name="[dimClients].[CustomerID].&amp;[K010]"/>
            <x15:cachedUniqueName index="10" name="[dimClients].[CustomerID].&amp;[K011]"/>
            <x15:cachedUniqueName index="11" name="[dimClients].[CustomerID].&amp;[K012]"/>
            <x15:cachedUniqueName index="12" name="[dimClients].[CustomerID].&amp;[K013]"/>
            <x15:cachedUniqueName index="13" name="[dimClients].[CustomerID].&amp;[K014]"/>
            <x15:cachedUniqueName index="14" name="[dimClients].[CustomerID].&amp;[K015]"/>
            <x15:cachedUniqueName index="15" name="[dimClients].[CustomerID].&amp;[K016]"/>
            <x15:cachedUniqueName index="16" name="[dimClients].[CustomerID].&amp;[K017]"/>
            <x15:cachedUniqueName index="17" name="[dimClients].[CustomerID].&amp;[K018]"/>
            <x15:cachedUniqueName index="18" name="[dimClients].[CustomerID].&amp;[K019]"/>
            <x15:cachedUniqueName index="19" name="[dimClients].[CustomerID].&amp;[K020]"/>
          </x15:cachedUniqueNames>
        </ext>
      </extLst>
    </cacheField>
    <cacheField name="[Measures].[AVG LTV]" caption="AVG LTV" numFmtId="0" hierarchy="27" level="32767"/>
    <cacheField name="[factTransactions].[PurchaseDate].[PurchaseDate]" caption="PurchaseDate" numFmtId="0" hierarchy="16" level="1">
      <sharedItems containsSemiMixedTypes="0" containsNonDate="0" containsString="0"/>
    </cacheField>
    <cacheField name="[Measures].[Risk status]" caption="Risk status" numFmtId="0" hierarchy="26" level="32767"/>
    <cacheField name="[Measures].[Risk status KPI]" caption="Risk status KPI" numFmtId="0" hierarchy="30" level="32767"/>
    <cacheField name="[dimClients].[AcquisitionChannel].[AcquisitionChannel]" caption="AcquisitionChannel" numFmtId="0" hierarchy="10" level="1">
      <sharedItems containsSemiMixedTypes="0" containsNonDate="0" containsString="0"/>
    </cacheField>
    <cacheField name="[factTransactions].[ProductCategory].[ProductCategory]" caption="ProductCategory" numFmtId="0" hierarchy="18" level="1">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lients].[CustomerID]" caption="CustomerID" attribute="1" defaultMemberUniqueName="[dimClients].[CustomerID].[All]" allUniqueName="[dimClients].[CustomerID].[All]" dimensionUniqueName="[dimClients]" displayFolder="" count="2" memberValueDatatype="130" unbalanced="0">
      <fieldsUsage count="2">
        <fieldUsage x="-1"/>
        <fieldUsage x="0"/>
      </fieldsUsage>
    </cacheHierarchy>
    <cacheHierarchy uniqueName="[dimClients].[RegistrationDate]" caption="RegistrationDate" attribute="1" time="1" defaultMemberUniqueName="[dimClients].[RegistrationDate].[All]" allUniqueName="[dimClients].[RegistrationDate].[All]" dimensionUniqueName="[dimClients]" displayFolder="" count="0" memberValueDatatype="7" unbalanced="0"/>
    <cacheHierarchy uniqueName="[dimClients].[AcquisitionChannel]" caption="AcquisitionChannel" attribute="1" defaultMemberUniqueName="[dimClients].[AcquisitionChannel].[All]" allUniqueName="[dimClients].[AcquisitionChannel].[All]" dimensionUniqueName="[dimClients]" displayFolder="" count="2" memberValueDatatype="130" unbalanced="0">
      <fieldsUsage count="2">
        <fieldUsage x="-1"/>
        <fieldUsage x="5"/>
      </fieldsUsage>
    </cacheHierarchy>
    <cacheHierarchy uniqueName="[dimClients].[CAC_Cost_PLN]" caption="CAC_Cost_PLN" attribute="1" defaultMemberUniqueName="[dimClients].[CAC_Cost_PLN].[All]" allUniqueName="[dimClients].[CAC_Cost_PLN].[All]" dimensionUniqueName="[dimClients]" displayFolder="" count="0" memberValueDatatype="20" unbalanced="0"/>
    <cacheHierarchy uniqueName="[dimClients].[Gender]" caption="Gender" attribute="1" defaultMemberUniqueName="[dimClients].[Gender].[All]" allUniqueName="[dimClients].[Gender].[All]" dimensionUniqueName="[dimClients]" displayFolder="" count="0" memberValueDatatype="130" unbalanced="0"/>
    <cacheHierarchy uniqueName="[dimClients].[MarketingConsent]" caption="MarketingConsent" attribute="1" defaultMemberUniqueName="[dimClients].[MarketingConsent].[All]" allUniqueName="[dimClients].[MarketingConsent].[All]" dimensionUniqueName="[dimClients]" displayFolder="" count="0" memberValueDatatype="130" unbalanced="0"/>
    <cacheHierarchy uniqueName="[factTransactions].[TransactionID]" caption="TransactionID" attribute="1" defaultMemberUniqueName="[factTransactions].[TransactionID].[All]" allUniqueName="[factTransactions].[TransactionID].[All]" dimensionUniqueName="[factTransactions]" displayFolder="" count="0" memberValueDatatype="130" unbalanced="0"/>
    <cacheHierarchy uniqueName="[factTransactions].[CustomerID]" caption="CustomerID" attribute="1" defaultMemberUniqueName="[factTransactions].[CustomerID].[All]" allUniqueName="[factTransactions].[CustomerID].[All]" dimensionUniqueName="[factTransactions]" displayFolder="" count="0" memberValueDatatype="130" unbalanced="0"/>
    <cacheHierarchy uniqueName="[factTransactions].[PurchaseDate]" caption="PurchaseDate" attribute="1" time="1" defaultMemberUniqueName="[factTransactions].[PurchaseDate].[All]" allUniqueName="[factTransactions].[PurchaseDate].[All]" dimensionUniqueName="[factTransactions]" displayFolder="" count="2" memberValueDatatype="7" unbalanced="0">
      <fieldsUsage count="2">
        <fieldUsage x="-1"/>
        <fieldUsage x="2"/>
      </fieldsUsage>
    </cacheHierarchy>
    <cacheHierarchy uniqueName="[factTransactions].[Amount_PLN]" caption="Amount_PLN" attribute="1" defaultMemberUniqueName="[factTransactions].[Amount_PLN].[All]" allUniqueName="[factTransactions].[Amount_PLN].[All]" dimensionUniqueName="[factTransactions]" displayFolder="" count="0" memberValueDatatype="20" unbalanced="0"/>
    <cacheHierarchy uniqueName="[factTransactions].[ProductCategory]" caption="ProductCategory" attribute="1" defaultMemberUniqueName="[factTransactions].[ProductCategory].[All]" allUniqueName="[factTransactions].[ProductCategory].[All]" dimensionUniqueName="[factTransactions]" displayFolder="" count="2" memberValueDatatype="130" unbalanced="0">
      <fieldsUsage count="2">
        <fieldUsage x="-1"/>
        <fieldUsage x="6"/>
      </fieldsUsage>
    </cacheHierarchy>
    <cacheHierarchy uniqueName="[factTransactions].[OrderStatus]" caption="OrderStatus" attribute="1" defaultMemberUniqueName="[factTransactions].[OrderStatus].[All]" allUniqueName="[factTransactions].[OrderStatus].[All]" dimensionUniqueName="[factTransactions]" displayFolder="" count="0" memberValueDatatype="130" unbalanced="0"/>
    <cacheHierarchy uniqueName="[When Churn status].[When Churn status]" caption="When Churn status" attribute="1" defaultMemberUniqueName="[When Churn status].[When Churn status].[All]" allUniqueName="[When Churn status].[When Churn status].[All]" dimensionUniqueName="[When Churn status]" displayFolder="" count="0" memberValueDatatype="20" unbalanced="0"/>
    <cacheHierarchy uniqueName="[When_Active_status].[When Active status]" caption="When Active status" attribute="1" defaultMemberUniqueName="[When_Active_status].[When Active status].[All]" allUniqueName="[When_Active_status].[When Active status].[All]" dimensionUniqueName="[When_Active_status]" displayFolder="" count="0" memberValueDatatype="20" unbalanced="0"/>
    <cacheHierarchy uniqueName="[When_Win_back_status].[When Win-back status]" caption="When Win-back status" attribute="1" defaultMemberUniqueName="[When_Win_back_status].[When Win-back status].[All]" allUniqueName="[When_Win_back_status].[When Win-back status].[All]" dimensionUniqueName="[When_Win_back_status]" displayFolder="" count="0" memberValueDatatype="130" unbalanced="0"/>
    <cacheHierarchy uniqueName="[Measures].[Total Income]" caption="Total Income" measure="1" displayFolder="" measureGroup="factTransactions" count="0"/>
    <cacheHierarchy uniqueName="[Measures].[Whole CAC]" caption="Whole CAC" measure="1" displayFolder="" measureGroup="factTransactions" count="0"/>
    <cacheHierarchy uniqueName="[Measures].[Last Purchase]" caption="Last Purchase" measure="1" displayFolder="" measureGroup="factTransactions" count="0"/>
    <cacheHierarchy uniqueName="[Measures].[Risk status]" caption="Risk status" measure="1" displayFolder="" measureGroup="dimClients" count="0" oneField="1">
      <fieldsUsage count="1">
        <fieldUsage x="3"/>
      </fieldsUsage>
    </cacheHierarchy>
    <cacheHierarchy uniqueName="[Measures].[AVG LTV]" caption="AVG LTV" measure="1" displayFolder="" measureGroup="dimClients" count="0" oneField="1">
      <fieldsUsage count="1">
        <fieldUsage x="1"/>
      </fieldsUsage>
    </cacheHierarchy>
    <cacheHierarchy uniqueName="[Measures].[Churn status]" caption="Churn status" measure="1" displayFolder="" measureGroup="When Churn status" count="0"/>
    <cacheHierarchy uniqueName="[Measures].[Days Since Last Purchase]" caption="Days Since Last Purchase" measure="1" displayFolder="" measureGroup="factTransactions" count="0"/>
    <cacheHierarchy uniqueName="[Measures].[Risk status KPI]" caption="Risk status KPI" measure="1" displayFolder="" measureGroup="dimClients" count="0" oneField="1">
      <fieldsUsage count="1">
        <fieldUsage x="4"/>
      </fieldsUsage>
    </cacheHierarchy>
    <cacheHierarchy uniqueName="[Measures].[Active Status]" caption="Active Status" measure="1" displayFolder="" measureGroup="When_Active_status" count="0"/>
    <cacheHierarchy uniqueName="[Measures].[__XL_Count factTransactions]" caption="__XL_Count factTransactions" measure="1" displayFolder="" measureGroup="factTransactions" count="0" hidden="1"/>
    <cacheHierarchy uniqueName="[Measures].[__XL_Count dimClients]" caption="__XL_Count dimClients" measure="1" displayFolder="" measureGroup="dimClients" count="0" hidden="1"/>
    <cacheHierarchy uniqueName="[Measures].[__XL_Count Calendar]" caption="__XL_Count Calendar" measure="1" displayFolder="" measureGroup="Calendar" count="0" hidden="1"/>
    <cacheHierarchy uniqueName="[Measures].[__XL_Count Table3]" caption="__XL_Count Table3" measure="1" displayFolder="" measureGroup="When Churn status" count="0" hidden="1"/>
    <cacheHierarchy uniqueName="[Measures].[__XL_Count Table4]" caption="__XL_Count Table4" measure="1" displayFolder="" measureGroup="When_Win_back_status" count="0" hidden="1"/>
    <cacheHierarchy uniqueName="[Measures].[__XL_Count Table6]" caption="__XL_Count Table6" measure="1" displayFolder="" measureGroup="When_Active_status" count="0" hidden="1"/>
    <cacheHierarchy uniqueName="[Measures].[__No measures defined]" caption="__No measures defined" measure="1" displayFolder="" count="0" hidden="1"/>
  </cacheHierarchies>
  <kpis count="0"/>
  <dimensions count="7">
    <dimension name="Calendar" uniqueName="[Calendar]" caption="Calendar"/>
    <dimension name="dimClients" uniqueName="[dimClients]" caption="dimClients"/>
    <dimension name="factTransactions" uniqueName="[factTransactions]" caption="factTransactions"/>
    <dimension measure="1" name="Measures" uniqueName="[Measures]" caption="Measures"/>
    <dimension name="When Churn status" uniqueName="[When Churn status]" caption="When Churn status"/>
    <dimension name="When_Active_status" uniqueName="[When_Active_status]" caption="When_Active_status"/>
    <dimension name="When_Win_back_status" uniqueName="[When_Win_back_status]" caption="When_Win_back_status"/>
  </dimensions>
  <measureGroups count="6">
    <measureGroup name="Calendar" caption="Calendar"/>
    <measureGroup name="dimClients" caption="dimClients"/>
    <measureGroup name="factTransactions" caption="factTransactions"/>
    <measureGroup name="When Churn status" caption="When Churn status"/>
    <measureGroup name="When_Active_status" caption="When_Active_status"/>
    <measureGroup name="When_Win_back_status" caption="When_Win_back_status"/>
  </measureGroups>
  <maps count="8">
    <map measureGroup="0" dimension="0"/>
    <map measureGroup="1" dimension="1"/>
    <map measureGroup="2" dimension="0"/>
    <map measureGroup="2"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ł Foit" refreshedDate="46127.113983564814" backgroundQuery="1" createdVersion="3" refreshedVersion="8" minRefreshableVersion="3" recordCount="0" supportSubquery="1" supportAdvancedDrill="1" xr:uid="{5BB99931-B17F-4E5E-B805-FCFA27EEAB1A}">
  <cacheSource type="external" connectionId="7">
    <extLst>
      <ext xmlns:x14="http://schemas.microsoft.com/office/spreadsheetml/2009/9/main" uri="{F057638F-6D5F-4e77-A914-E7F072B9BCA8}">
        <x14:sourceConnection name="ThisWorkbookDataModel"/>
      </ext>
    </extLst>
  </cacheSource>
  <cacheFields count="0"/>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lients].[CustomerID]" caption="CustomerID" attribute="1" defaultMemberUniqueName="[dimClients].[CustomerID].[All]" allUniqueName="[dimClients].[CustomerID].[All]" dimensionUniqueName="[dimClients]" displayFolder="" count="2" memberValueDatatype="130" unbalanced="0"/>
    <cacheHierarchy uniqueName="[dimClients].[RegistrationDate]" caption="RegistrationDate" attribute="1" time="1" defaultMemberUniqueName="[dimClients].[RegistrationDate].[All]" allUniqueName="[dimClients].[RegistrationDate].[All]" dimensionUniqueName="[dimClients]" displayFolder="" count="0" memberValueDatatype="7" unbalanced="0"/>
    <cacheHierarchy uniqueName="[dimClients].[AcquisitionChannel]" caption="AcquisitionChannel" attribute="1" defaultMemberUniqueName="[dimClients].[AcquisitionChannel].[All]" allUniqueName="[dimClients].[AcquisitionChannel].[All]" dimensionUniqueName="[dimClients]" displayFolder="" count="2" memberValueDatatype="130" unbalanced="0"/>
    <cacheHierarchy uniqueName="[dimClients].[CAC_Cost_PLN]" caption="CAC_Cost_PLN" attribute="1" defaultMemberUniqueName="[dimClients].[CAC_Cost_PLN].[All]" allUniqueName="[dimClients].[CAC_Cost_PLN].[All]" dimensionUniqueName="[dimClients]" displayFolder="" count="0" memberValueDatatype="20" unbalanced="0"/>
    <cacheHierarchy uniqueName="[dimClients].[Gender]" caption="Gender" attribute="1" defaultMemberUniqueName="[dimClients].[Gender].[All]" allUniqueName="[dimClients].[Gender].[All]" dimensionUniqueName="[dimClients]" displayFolder="" count="0" memberValueDatatype="130" unbalanced="0"/>
    <cacheHierarchy uniqueName="[dimClients].[MarketingConsent]" caption="MarketingConsent" attribute="1" defaultMemberUniqueName="[dimClients].[MarketingConsent].[All]" allUniqueName="[dimClients].[MarketingConsent].[All]" dimensionUniqueName="[dimClients]" displayFolder="" count="0" memberValueDatatype="130" unbalanced="0"/>
    <cacheHierarchy uniqueName="[factTransactions].[TransactionID]" caption="TransactionID" attribute="1" defaultMemberUniqueName="[factTransactions].[TransactionID].[All]" allUniqueName="[factTransactions].[TransactionID].[All]" dimensionUniqueName="[factTransactions]" displayFolder="" count="0" memberValueDatatype="130" unbalanced="0"/>
    <cacheHierarchy uniqueName="[factTransactions].[CustomerID]" caption="CustomerID" attribute="1" defaultMemberUniqueName="[factTransactions].[CustomerID].[All]" allUniqueName="[factTransactions].[CustomerID].[All]" dimensionUniqueName="[factTransactions]" displayFolder="" count="0" memberValueDatatype="130" unbalanced="0"/>
    <cacheHierarchy uniqueName="[factTransactions].[PurchaseDate]" caption="PurchaseDate" attribute="1" time="1" defaultMemberUniqueName="[factTransactions].[PurchaseDate].[All]" allUniqueName="[factTransactions].[PurchaseDate].[All]" dimensionUniqueName="[factTransactions]" displayFolder="" count="0" memberValueDatatype="7" unbalanced="0"/>
    <cacheHierarchy uniqueName="[factTransactions].[Amount_PLN]" caption="Amount_PLN" attribute="1" defaultMemberUniqueName="[factTransactions].[Amount_PLN].[All]" allUniqueName="[factTransactions].[Amount_PLN].[All]" dimensionUniqueName="[factTransactions]" displayFolder="" count="0" memberValueDatatype="20" unbalanced="0"/>
    <cacheHierarchy uniqueName="[factTransactions].[ProductCategory]" caption="ProductCategory" attribute="1" defaultMemberUniqueName="[factTransactions].[ProductCategory].[All]" allUniqueName="[factTransactions].[ProductCategory].[All]" dimensionUniqueName="[factTransactions]" displayFolder="" count="2" memberValueDatatype="130" unbalanced="0"/>
    <cacheHierarchy uniqueName="[factTransactions].[OrderStatus]" caption="OrderStatus" attribute="1" defaultMemberUniqueName="[factTransactions].[OrderStatus].[All]" allUniqueName="[factTransactions].[OrderStatus].[All]" dimensionUniqueName="[factTransactions]" displayFolder="" count="0" memberValueDatatype="130" unbalanced="0"/>
    <cacheHierarchy uniqueName="[When Churn status].[When Churn status]" caption="When Churn status" attribute="1" defaultMemberUniqueName="[When Churn status].[When Churn status].[All]" allUniqueName="[When Churn status].[When Churn status].[All]" dimensionUniqueName="[When Churn status]" displayFolder="" count="0" memberValueDatatype="20" unbalanced="0"/>
    <cacheHierarchy uniqueName="[When_Active_status].[When Active status]" caption="When Active status" attribute="1" defaultMemberUniqueName="[When_Active_status].[When Active status].[All]" allUniqueName="[When_Active_status].[When Active status].[All]" dimensionUniqueName="[When_Active_status]" displayFolder="" count="0" memberValueDatatype="20" unbalanced="0"/>
    <cacheHierarchy uniqueName="[When_Win_back_status].[When Win-back status]" caption="When Win-back status" attribute="1" defaultMemberUniqueName="[When_Win_back_status].[When Win-back status].[All]" allUniqueName="[When_Win_back_status].[When Win-back status].[All]" dimensionUniqueName="[When_Win_back_status]" displayFolder="" count="0" memberValueDatatype="130" unbalanced="0"/>
    <cacheHierarchy uniqueName="[Measures].[Total Income]" caption="Total Income" measure="1" displayFolder="" measureGroup="factTransactions" count="0"/>
    <cacheHierarchy uniqueName="[Measures].[Whole CAC]" caption="Whole CAC" measure="1" displayFolder="" measureGroup="factTransactions" count="0"/>
    <cacheHierarchy uniqueName="[Measures].[Last Purchase]" caption="Last Purchase" measure="1" displayFolder="" measureGroup="factTransactions" count="0"/>
    <cacheHierarchy uniqueName="[Measures].[Risk status]" caption="Risk status" measure="1" displayFolder="" measureGroup="dimClients" count="0"/>
    <cacheHierarchy uniqueName="[Measures].[AVG LTV]" caption="AVG LTV" measure="1" displayFolder="" measureGroup="dimClients" count="0"/>
    <cacheHierarchy uniqueName="[Measures].[Churn status]" caption="Churn status" measure="1" displayFolder="" measureGroup="When Churn status" count="0"/>
    <cacheHierarchy uniqueName="[Measures].[Days Since Last Purchase]" caption="Days Since Last Purchase" measure="1" displayFolder="" measureGroup="factTransactions" count="0"/>
    <cacheHierarchy uniqueName="[Measures].[Risk status KPI]" caption="Risk status KPI" measure="1" displayFolder="" measureGroup="dimClients" count="0"/>
    <cacheHierarchy uniqueName="[Measures].[Active Status]" caption="Active Status" measure="1" displayFolder="" measureGroup="When_Active_status" count="0"/>
    <cacheHierarchy uniqueName="[Measures].[__XL_Count factTransactions]" caption="__XL_Count factTransactions" measure="1" displayFolder="" measureGroup="factTransactions" count="0" hidden="1"/>
    <cacheHierarchy uniqueName="[Measures].[__XL_Count dimClients]" caption="__XL_Count dimClients" measure="1" displayFolder="" measureGroup="dimClients" count="0" hidden="1"/>
    <cacheHierarchy uniqueName="[Measures].[__XL_Count Calendar]" caption="__XL_Count Calendar" measure="1" displayFolder="" measureGroup="Calendar" count="0" hidden="1"/>
    <cacheHierarchy uniqueName="[Measures].[__XL_Count Table3]" caption="__XL_Count Table3" measure="1" displayFolder="" measureGroup="When Churn status" count="0" hidden="1"/>
    <cacheHierarchy uniqueName="[Measures].[__XL_Count Table4]" caption="__XL_Count Table4" measure="1" displayFolder="" measureGroup="When_Win_back_status" count="0" hidden="1"/>
    <cacheHierarchy uniqueName="[Measures].[__XL_Count Table6]" caption="__XL_Count Table6" measure="1" displayFolder="" measureGroup="When_Active_statu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08478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51FE1-2B64-4B19-8CF5-DB3CECBDFAF5}" name="PivotTable1" cacheId="93" applyNumberFormats="0" applyBorderFormats="0" applyFontFormats="0" applyPatternFormats="0" applyAlignmentFormats="0" applyWidthHeightFormats="1" dataCaption="Values" tag="3903809f-a01e-48d1-9317-48ad20e9a399" updatedVersion="8" minRefreshableVersion="5" useAutoFormatting="1" subtotalHiddenItems="1" itemPrintTitles="1" createdVersion="8" indent="0" outline="1" outlineData="1" multipleFieldFilters="0">
  <location ref="A5:D26" firstHeaderRow="0" firstDataRow="1" firstDataCol="1"/>
  <pivotFields count="7">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fld="3" subtotal="count" baseField="0" baseItem="0"/>
    <dataField fld="4" subtotal="count" baseField="0" baseItem="0"/>
    <dataField fld="1" subtotal="count" baseField="0" baseItem="0"/>
  </dataFields>
  <formats count="2">
    <format dxfId="0">
      <pivotArea collapsedLevelsAreSubtotals="1" fieldPosition="0">
        <references count="2">
          <reference field="4294967294" count="1" selected="0">
            <x v="1"/>
          </reference>
          <reference field="0" count="0"/>
        </references>
      </pivotArea>
    </format>
    <format dxfId="1">
      <pivotArea collapsedLevelsAreSubtotals="1" fieldPosition="0">
        <references count="2">
          <reference field="4294967294" count="1" selected="0">
            <x v="1"/>
          </reference>
          <reference field="0" count="0"/>
        </references>
      </pivotArea>
    </format>
  </formats>
  <conditionalFormats count="1">
    <conditionalFormat priority="1">
      <pivotAreas count="1">
        <pivotArea type="data" collapsedLevelsAreSubtotals="1" fieldPosition="0">
          <references count="2">
            <reference field="4294967294" count="1" selected="0">
              <x v="1"/>
            </reference>
            <reference field="0" count="20">
              <x v="0"/>
              <x v="1"/>
              <x v="2"/>
              <x v="3"/>
              <x v="4"/>
              <x v="5"/>
              <x v="6"/>
              <x v="7"/>
              <x v="8"/>
              <x v="9"/>
              <x v="10"/>
              <x v="11"/>
              <x v="12"/>
              <x v="13"/>
              <x v="14"/>
              <x v="15"/>
              <x v="16"/>
              <x v="17"/>
              <x v="18"/>
              <x v="19"/>
            </reference>
          </references>
        </pivotArea>
      </pivotAreas>
    </conditionalFormat>
  </conditionalFormats>
  <pivotHierarchies count="39">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6" name="[factTransactions].[Purchas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lients]"/>
        <x15:activeTabTopLevelEntity name="[factTransac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090A596C-7360-4CD0-8EBB-7873D12B1FB1}" autoFormatId="16" applyNumberFormats="0" applyBorderFormats="0" applyFontFormats="0" applyPatternFormats="0" applyAlignmentFormats="0" applyWidthHeightFormats="0">
  <queryTableRefresh nextId="7">
    <queryTableFields count="6">
      <queryTableField id="1" name="TransactionID" tableColumnId="1"/>
      <queryTableField id="2" name="CustomerID" tableColumnId="2"/>
      <queryTableField id="3" name="PurchaseDate" tableColumnId="3"/>
      <queryTableField id="4" name="Amount_PLN" tableColumnId="4"/>
      <queryTableField id="5" name="ProductCategory" tableColumnId="5"/>
      <queryTableField id="6" name="OrderStatus"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D02D015-4BFB-4D01-8C64-9F8F825099C6}" autoFormatId="16" applyNumberFormats="0" applyBorderFormats="0" applyFontFormats="0" applyPatternFormats="0" applyAlignmentFormats="0" applyWidthHeightFormats="0">
  <queryTableRefresh nextId="13">
    <queryTableFields count="6">
      <queryTableField id="7" name="CustomerID" tableColumnId="7"/>
      <queryTableField id="8" name="RegistrationDate" tableColumnId="8"/>
      <queryTableField id="9" name="AcquisitionChannel" tableColumnId="9"/>
      <queryTableField id="10" name="CAC_Cost_PLN" tableColumnId="10"/>
      <queryTableField id="11" name="Gender" tableColumnId="11"/>
      <queryTableField id="12" name="MarketingConsen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quisitionChannel" xr10:uid="{13530907-A635-4296-8430-5773B28BFD4E}" sourceName="[dimClients].[AcquisitionChannel]">
  <pivotTables>
    <pivotTable tabId="4" name="PivotTable1"/>
  </pivotTables>
  <data>
    <olap pivotCacheId="1410847820">
      <levels count="2">
        <level uniqueName="[dimClients].[AcquisitionChannel].[(All)]" sourceCaption="(All)" count="0"/>
        <level uniqueName="[dimClients].[AcquisitionChannel].[AcquisitionChannel]" sourceCaption="AcquisitionChannel" count="4">
          <ranges>
            <range startItem="0">
              <i n="[dimClients].[AcquisitionChannel].&amp;[Affiliate]" c="Affiliate"/>
              <i n="[dimClients].[AcquisitionChannel].&amp;[Facebook]" c="Facebook"/>
              <i n="[dimClients].[AcquisitionChannel].&amp;[Google Ads]" c="Google Ads"/>
              <i n="[dimClients].[AcquisitionChannel].&amp;[Organic]" c="Organic"/>
            </range>
          </ranges>
        </level>
      </levels>
      <selections count="1">
        <selection n="[dimClients].[Acquisition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3BCEEB52-7448-4DB3-936A-B5A06F25DB14}" sourceName="[factTransactions].[ProductCategory]">
  <pivotTables>
    <pivotTable tabId="4" name="PivotTable1"/>
  </pivotTables>
  <data>
    <olap pivotCacheId="1410847820">
      <levels count="2">
        <level uniqueName="[factTransactions].[ProductCategory].[(All)]" sourceCaption="(All)" count="0"/>
        <level uniqueName="[factTransactions].[ProductCategory].[ProductCategory]" sourceCaption="ProductCategory" count="3">
          <ranges>
            <range startItem="0">
              <i n="[factTransactions].[ProductCategory].&amp;[Accessories]" c="Accessories"/>
              <i n="[factTransactions].[ProductCategory].&amp;[Beauty]" c="Beauty"/>
              <i n="[factTransactions].[ProductCategory].&amp;[Electronics]" c="Electronics"/>
            </range>
          </ranges>
        </level>
      </levels>
      <selections count="1">
        <selection n="[factTransactions].[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3DDC2FB9-EAFD-47BE-B9E4-E6B96BF46483}" sourceName="[dimClients].[CustomerID]">
  <pivotTables>
    <pivotTable tabId="4" name="PivotTable1"/>
  </pivotTables>
  <data>
    <olap pivotCacheId="1410847820">
      <levels count="2">
        <level uniqueName="[dimClients].[CustomerID].[(All)]" sourceCaption="(All)" count="0"/>
        <level uniqueName="[dimClients].[CustomerID].[CustomerID]" sourceCaption="CustomerID" count="20">
          <ranges>
            <range startItem="0">
              <i n="[dimClients].[CustomerID].&amp;[K001]" c="K001"/>
              <i n="[dimClients].[CustomerID].&amp;[K002]" c="K002"/>
              <i n="[dimClients].[CustomerID].&amp;[K003]" c="K003"/>
              <i n="[dimClients].[CustomerID].&amp;[K004]" c="K004"/>
              <i n="[dimClients].[CustomerID].&amp;[K005]" c="K005"/>
              <i n="[dimClients].[CustomerID].&amp;[K006]" c="K006"/>
              <i n="[dimClients].[CustomerID].&amp;[K007]" c="K007"/>
              <i n="[dimClients].[CustomerID].&amp;[K008]" c="K008"/>
              <i n="[dimClients].[CustomerID].&amp;[K009]" c="K009"/>
              <i n="[dimClients].[CustomerID].&amp;[K010]" c="K010"/>
              <i n="[dimClients].[CustomerID].&amp;[K011]" c="K011"/>
              <i n="[dimClients].[CustomerID].&amp;[K012]" c="K012"/>
              <i n="[dimClients].[CustomerID].&amp;[K013]" c="K013"/>
              <i n="[dimClients].[CustomerID].&amp;[K014]" c="K014"/>
              <i n="[dimClients].[CustomerID].&amp;[K015]" c="K015"/>
              <i n="[dimClients].[CustomerID].&amp;[K016]" c="K016"/>
              <i n="[dimClients].[CustomerID].&amp;[K017]" c="K017"/>
              <i n="[dimClients].[CustomerID].&amp;[K018]" c="K018"/>
              <i n="[dimClients].[CustomerID].&amp;[K019]" c="K019"/>
              <i n="[dimClients].[CustomerID].&amp;[K020]" c="K020"/>
            </range>
          </ranges>
        </level>
      </levels>
      <selections count="1">
        <selection n="[dimClients].[Customer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quisitionChannel" xr10:uid="{CB0E6650-F734-4A65-914A-0CA263635FD8}" cache="Slicer_AcquisitionChannel" caption="AcquisitionChannel" level="1" rowHeight="241300"/>
  <slicer name="ProductCategory" xr10:uid="{B3A64CC3-B649-4BA2-8CBB-C2321B4DDFFD}" cache="Slicer_ProductCategory" caption="ProductCategory" level="1" rowHeight="241300"/>
  <slicer name="CustomerID" xr10:uid="{0551FC7D-03CD-4D3A-81F7-BDA20C3267E5}" cache="Slicer_CustomerID" caption="CustomerID" level="1"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739F19-84B3-4FA8-A5A4-6689FE7A02EC}" name="When_Churn_status" displayName="When_Churn_status" ref="S3:S4" totalsRowShown="0">
  <autoFilter ref="S3:S4" xr:uid="{77739F19-84B3-4FA8-A5A4-6689FE7A02EC}"/>
  <tableColumns count="1">
    <tableColumn id="1" xr3:uid="{DB613FED-FA55-4EC8-BEE1-4C2B8814899F}" name="When Churn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AA75B4-57C0-4059-B409-BE67835EA3E1}" name="When_Win_back_status" displayName="When_Win_back_status" ref="T3:T4" totalsRowShown="0">
  <autoFilter ref="T3:T4" xr:uid="{40AA75B4-57C0-4059-B409-BE67835EA3E1}"/>
  <tableColumns count="1">
    <tableColumn id="1" xr3:uid="{DD991F4A-78A5-4184-8BC1-C0B671C1AD87}" name="When Win-back status">
      <calculatedColumnFormula>When_Active_status[[#This Row],[When Active status]]&amp;" &lt;&gt; "&amp;When_Churn_status[[#This Row],[When Churn status]]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2968B2-1469-4B6F-A938-B783AC081661}" name="When_Active_status" displayName="When_Active_status" ref="U3:U4" totalsRowShown="0">
  <autoFilter ref="U3:U4" xr:uid="{792968B2-1469-4B6F-A938-B783AC081661}"/>
  <tableColumns count="1">
    <tableColumn id="1" xr3:uid="{2B02DD8D-445B-4EEE-9A74-D9EFE20A5E8A}" name="When Active 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04D5C8-D8CE-4018-B5B6-51FDEEEA43F7}" name="factTransactions" displayName="factTransactions" ref="A1:F51" tableType="queryTable" totalsRowShown="0">
  <autoFilter ref="A1:F51" xr:uid="{2304D5C8-D8CE-4018-B5B6-51FDEEEA43F7}"/>
  <tableColumns count="6">
    <tableColumn id="1" xr3:uid="{0277905A-6698-4CDA-B4BB-702B61AB57A5}" uniqueName="1" name="TransactionID" queryTableFieldId="1" dataDxfId="11"/>
    <tableColumn id="2" xr3:uid="{11C9084C-4904-4523-98B4-6AF7A78A528D}" uniqueName="2" name="CustomerID" queryTableFieldId="2" dataDxfId="10"/>
    <tableColumn id="3" xr3:uid="{7A816FDE-CDDC-4C9B-81B6-E4EF95421F69}" uniqueName="3" name="PurchaseDate" queryTableFieldId="3" dataDxfId="9"/>
    <tableColumn id="4" xr3:uid="{3A9AD5BE-FF63-40CC-A302-350436AACFAD}" uniqueName="4" name="Amount_PLN" queryTableFieldId="4"/>
    <tableColumn id="5" xr3:uid="{8669F4F6-4AB6-48DC-A5A0-4411D83DDD5C}" uniqueName="5" name="ProductCategory" queryTableFieldId="5" dataDxfId="8"/>
    <tableColumn id="6" xr3:uid="{14AB05A1-DBF3-49F0-864C-EF672426F33D}" uniqueName="6" name="OrderStatus" queryTableFieldId="6"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848AC4-F577-4B60-BC58-DB1F6E35D7F9}" name="dimClients" displayName="dimClients" ref="A1:F21" tableType="queryTable" totalsRowShown="0">
  <autoFilter ref="A1:F21" xr:uid="{6A848AC4-F577-4B60-BC58-DB1F6E35D7F9}"/>
  <tableColumns count="6">
    <tableColumn id="7" xr3:uid="{843EDFC9-4CD2-4C56-B853-36C0BF82C02E}" uniqueName="7" name="CustomerID" queryTableFieldId="7" dataDxfId="6"/>
    <tableColumn id="8" xr3:uid="{0C914238-C584-498D-BB86-AD748F46676B}" uniqueName="8" name="RegistrationDate" queryTableFieldId="8" dataDxfId="5"/>
    <tableColumn id="9" xr3:uid="{60A97E9A-7A7C-4F5E-837D-B2B816AE0A12}" uniqueName="9" name="AcquisitionChannel" queryTableFieldId="9" dataDxfId="4"/>
    <tableColumn id="10" xr3:uid="{E744022B-D6BA-4978-A598-1A8294DE5388}" uniqueName="10" name="CAC_Cost_PLN" queryTableFieldId="10"/>
    <tableColumn id="11" xr3:uid="{FB977F2C-14B4-423E-9891-D524943F1F06}" uniqueName="11" name="Gender" queryTableFieldId="11" dataDxfId="3"/>
    <tableColumn id="12" xr3:uid="{D3E8E4A9-399E-471B-96FE-5BE3753D57C6}" uniqueName="12" name="MarketingConsent" queryTableFieldId="12"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A291-10BA-46E6-97E7-F4AD62472560}">
  <dimension ref="A3:U62"/>
  <sheetViews>
    <sheetView tabSelected="1" zoomScale="70" zoomScaleNormal="70" workbookViewId="0">
      <selection activeCell="O58" sqref="O58"/>
    </sheetView>
  </sheetViews>
  <sheetFormatPr defaultRowHeight="14.5" x14ac:dyDescent="0.35"/>
  <cols>
    <col min="1" max="1" width="13.08984375" bestFit="1" customWidth="1"/>
    <col min="2" max="2" width="9.81640625" bestFit="1" customWidth="1"/>
    <col min="3" max="3" width="13.08984375" bestFit="1" customWidth="1"/>
    <col min="4" max="4" width="7.90625" bestFit="1" customWidth="1"/>
    <col min="19" max="19" width="20.453125" bestFit="1" customWidth="1"/>
    <col min="20" max="20" width="23.7265625" bestFit="1" customWidth="1"/>
    <col min="21" max="21" width="20.7265625" bestFit="1" customWidth="1"/>
  </cols>
  <sheetData>
    <row r="3" spans="1:21" x14ac:dyDescent="0.35">
      <c r="A3" t="s">
        <v>101</v>
      </c>
      <c r="S3" t="s">
        <v>99</v>
      </c>
      <c r="T3" t="s">
        <v>98</v>
      </c>
      <c r="U3" t="s">
        <v>100</v>
      </c>
    </row>
    <row r="4" spans="1:21" x14ac:dyDescent="0.35">
      <c r="S4">
        <v>80</v>
      </c>
      <c r="T4" t="str">
        <f>When_Active_status[[#This Row],[When Active status]]&amp;" &lt;&gt; "&amp;When_Churn_status[[#This Row],[When Churn status]]</f>
        <v>60 &lt;&gt; 80</v>
      </c>
      <c r="U4">
        <v>60</v>
      </c>
    </row>
    <row r="5" spans="1:21" x14ac:dyDescent="0.35">
      <c r="A5" s="2" t="s">
        <v>94</v>
      </c>
      <c r="B5" t="s">
        <v>102</v>
      </c>
      <c r="C5" t="s">
        <v>103</v>
      </c>
      <c r="D5" t="s">
        <v>104</v>
      </c>
    </row>
    <row r="6" spans="1:21" x14ac:dyDescent="0.35">
      <c r="A6" s="3" t="s">
        <v>0</v>
      </c>
      <c r="B6" s="4" t="s">
        <v>96</v>
      </c>
      <c r="C6" s="5">
        <v>1</v>
      </c>
      <c r="D6" s="4">
        <v>2000</v>
      </c>
    </row>
    <row r="7" spans="1:21" x14ac:dyDescent="0.35">
      <c r="A7" s="3" t="s">
        <v>2</v>
      </c>
      <c r="B7" s="4" t="s">
        <v>97</v>
      </c>
      <c r="C7" s="5">
        <v>-1</v>
      </c>
      <c r="D7" s="4">
        <v>820</v>
      </c>
    </row>
    <row r="8" spans="1:21" x14ac:dyDescent="0.35">
      <c r="A8" s="3" t="s">
        <v>5</v>
      </c>
      <c r="B8" s="4" t="s">
        <v>96</v>
      </c>
      <c r="C8" s="5">
        <v>1</v>
      </c>
      <c r="D8" s="4">
        <v>720</v>
      </c>
    </row>
    <row r="9" spans="1:21" x14ac:dyDescent="0.35">
      <c r="A9" s="3" t="s">
        <v>7</v>
      </c>
      <c r="B9" s="4" t="s">
        <v>97</v>
      </c>
      <c r="C9" s="5">
        <v>-1</v>
      </c>
      <c r="D9" s="4">
        <v>600</v>
      </c>
    </row>
    <row r="10" spans="1:21" x14ac:dyDescent="0.35">
      <c r="A10" s="3" t="s">
        <v>9</v>
      </c>
      <c r="B10" s="4" t="s">
        <v>96</v>
      </c>
      <c r="C10" s="5">
        <v>1</v>
      </c>
      <c r="D10" s="4">
        <v>850</v>
      </c>
    </row>
    <row r="11" spans="1:21" x14ac:dyDescent="0.35">
      <c r="A11" s="3" t="s">
        <v>10</v>
      </c>
      <c r="B11" s="4" t="s">
        <v>97</v>
      </c>
      <c r="C11" s="5">
        <v>-1</v>
      </c>
      <c r="D11" s="4">
        <v>90</v>
      </c>
    </row>
    <row r="12" spans="1:21" x14ac:dyDescent="0.35">
      <c r="A12" s="3" t="s">
        <v>11</v>
      </c>
      <c r="B12" s="4" t="s">
        <v>97</v>
      </c>
      <c r="C12" s="5">
        <v>-1</v>
      </c>
      <c r="D12" s="4">
        <v>1150</v>
      </c>
    </row>
    <row r="13" spans="1:21" x14ac:dyDescent="0.35">
      <c r="A13" s="3" t="s">
        <v>12</v>
      </c>
      <c r="B13" s="4" t="s">
        <v>97</v>
      </c>
      <c r="C13" s="5">
        <v>-1</v>
      </c>
      <c r="D13" s="4">
        <v>500</v>
      </c>
    </row>
    <row r="14" spans="1:21" x14ac:dyDescent="0.35">
      <c r="A14" s="3" t="s">
        <v>13</v>
      </c>
      <c r="B14" s="4" t="s">
        <v>97</v>
      </c>
      <c r="C14" s="5">
        <v>-1</v>
      </c>
      <c r="D14" s="4">
        <v>120</v>
      </c>
    </row>
    <row r="15" spans="1:21" x14ac:dyDescent="0.35">
      <c r="A15" s="3" t="s">
        <v>14</v>
      </c>
      <c r="B15" s="4" t="s">
        <v>96</v>
      </c>
      <c r="C15" s="5">
        <v>1</v>
      </c>
      <c r="D15" s="4">
        <v>430</v>
      </c>
    </row>
    <row r="16" spans="1:21" x14ac:dyDescent="0.35">
      <c r="A16" s="3" t="s">
        <v>15</v>
      </c>
      <c r="B16" s="4" t="s">
        <v>97</v>
      </c>
      <c r="C16" s="5">
        <v>-1</v>
      </c>
      <c r="D16" s="4">
        <v>600</v>
      </c>
    </row>
    <row r="17" spans="1:4" x14ac:dyDescent="0.35">
      <c r="A17" s="3" t="s">
        <v>16</v>
      </c>
      <c r="B17" s="4" t="s">
        <v>97</v>
      </c>
      <c r="C17" s="5">
        <v>-1</v>
      </c>
      <c r="D17" s="4">
        <v>150</v>
      </c>
    </row>
    <row r="18" spans="1:4" x14ac:dyDescent="0.35">
      <c r="A18" s="3" t="s">
        <v>17</v>
      </c>
      <c r="B18" s="4" t="s">
        <v>97</v>
      </c>
      <c r="C18" s="5">
        <v>-1</v>
      </c>
      <c r="D18" s="4">
        <v>200</v>
      </c>
    </row>
    <row r="19" spans="1:4" x14ac:dyDescent="0.35">
      <c r="A19" s="3" t="s">
        <v>18</v>
      </c>
      <c r="B19" s="4" t="s">
        <v>96</v>
      </c>
      <c r="C19" s="5">
        <v>1</v>
      </c>
      <c r="D19" s="4">
        <v>1200</v>
      </c>
    </row>
    <row r="20" spans="1:4" x14ac:dyDescent="0.35">
      <c r="A20" s="3" t="s">
        <v>19</v>
      </c>
      <c r="B20" s="4" t="s">
        <v>96</v>
      </c>
      <c r="C20" s="5">
        <v>1</v>
      </c>
      <c r="D20" s="4">
        <v>520</v>
      </c>
    </row>
    <row r="21" spans="1:4" x14ac:dyDescent="0.35">
      <c r="A21" s="3" t="s">
        <v>20</v>
      </c>
      <c r="B21" s="4" t="s">
        <v>97</v>
      </c>
      <c r="C21" s="5">
        <v>-1</v>
      </c>
      <c r="D21" s="4">
        <v>250</v>
      </c>
    </row>
    <row r="22" spans="1:4" x14ac:dyDescent="0.35">
      <c r="A22" s="3" t="s">
        <v>21</v>
      </c>
      <c r="B22" s="4" t="s">
        <v>97</v>
      </c>
      <c r="C22" s="5">
        <v>-1</v>
      </c>
      <c r="D22" s="4">
        <v>550</v>
      </c>
    </row>
    <row r="23" spans="1:4" x14ac:dyDescent="0.35">
      <c r="A23" s="3" t="s">
        <v>22</v>
      </c>
      <c r="B23" s="4" t="s">
        <v>96</v>
      </c>
      <c r="C23" s="5">
        <v>1</v>
      </c>
      <c r="D23" s="4">
        <v>600</v>
      </c>
    </row>
    <row r="24" spans="1:4" x14ac:dyDescent="0.35">
      <c r="A24" s="3" t="s">
        <v>23</v>
      </c>
      <c r="B24" s="4" t="s">
        <v>96</v>
      </c>
      <c r="C24" s="5">
        <v>1</v>
      </c>
      <c r="D24" s="4">
        <v>1650</v>
      </c>
    </row>
    <row r="25" spans="1:4" x14ac:dyDescent="0.35">
      <c r="A25" s="3" t="s">
        <v>24</v>
      </c>
      <c r="B25" s="4" t="s">
        <v>96</v>
      </c>
      <c r="C25" s="5">
        <v>1</v>
      </c>
      <c r="D25" s="4">
        <v>270</v>
      </c>
    </row>
    <row r="26" spans="1:4" x14ac:dyDescent="0.35">
      <c r="A26" s="3" t="s">
        <v>95</v>
      </c>
      <c r="B26" s="4" t="s">
        <v>96</v>
      </c>
      <c r="C26" s="4">
        <v>1</v>
      </c>
      <c r="D26" s="4">
        <v>663.5</v>
      </c>
    </row>
    <row r="62" spans="15:15" x14ac:dyDescent="0.35">
      <c r="O62" s="6"/>
    </row>
  </sheetData>
  <conditionalFormatting pivot="1" sqref="C6:C25">
    <cfRule type="iconSet" priority="1">
      <iconSet showValue="0">
        <cfvo type="percent" val="0"/>
        <cfvo type="percent" val="33"/>
        <cfvo type="percent" val="67"/>
      </iconSet>
    </cfRule>
  </conditionalFormatting>
  <pageMargins left="0.7" right="0.7" top="0.75" bottom="0.75" header="0.3" footer="0.3"/>
  <drawing r:id="rId2"/>
  <tableParts count="3">
    <tablePart r:id="rId3"/>
    <tablePart r:id="rId4"/>
    <tablePart r:id="rId5"/>
  </tableParts>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F556-66E0-4F4A-9517-8E69168160FA}">
  <dimension ref="A1:F51"/>
  <sheetViews>
    <sheetView workbookViewId="0">
      <selection activeCell="C1" sqref="C1"/>
    </sheetView>
  </sheetViews>
  <sheetFormatPr defaultRowHeight="14.5" x14ac:dyDescent="0.35"/>
  <cols>
    <col min="1" max="1" width="15.453125" bestFit="1" customWidth="1"/>
    <col min="2" max="2" width="13.7265625" bestFit="1" customWidth="1"/>
    <col min="3" max="3" width="15.54296875" bestFit="1" customWidth="1"/>
    <col min="4" max="4" width="14.81640625" bestFit="1" customWidth="1"/>
    <col min="5" max="5" width="18.1796875" bestFit="1" customWidth="1"/>
    <col min="6" max="6" width="13.81640625" bestFit="1" customWidth="1"/>
  </cols>
  <sheetData>
    <row r="1" spans="1:6" x14ac:dyDescent="0.35">
      <c r="A1" t="s">
        <v>34</v>
      </c>
      <c r="B1" t="s">
        <v>25</v>
      </c>
      <c r="C1" t="s">
        <v>35</v>
      </c>
      <c r="D1" t="s">
        <v>36</v>
      </c>
      <c r="E1" t="s">
        <v>37</v>
      </c>
      <c r="F1" t="s">
        <v>38</v>
      </c>
    </row>
    <row r="2" spans="1:6" x14ac:dyDescent="0.35">
      <c r="A2" t="s">
        <v>39</v>
      </c>
      <c r="B2" t="s">
        <v>0</v>
      </c>
      <c r="C2" s="1">
        <v>44942</v>
      </c>
      <c r="D2">
        <v>350</v>
      </c>
      <c r="E2" t="s">
        <v>40</v>
      </c>
      <c r="F2" t="s">
        <v>41</v>
      </c>
    </row>
    <row r="3" spans="1:6" x14ac:dyDescent="0.35">
      <c r="A3" t="s">
        <v>42</v>
      </c>
      <c r="B3" t="s">
        <v>2</v>
      </c>
      <c r="C3" s="1">
        <v>44947</v>
      </c>
      <c r="D3">
        <v>120</v>
      </c>
      <c r="E3" t="s">
        <v>43</v>
      </c>
      <c r="F3" t="s">
        <v>41</v>
      </c>
    </row>
    <row r="4" spans="1:6" x14ac:dyDescent="0.35">
      <c r="A4" t="s">
        <v>44</v>
      </c>
      <c r="B4" t="s">
        <v>0</v>
      </c>
      <c r="C4" s="1">
        <v>44967</v>
      </c>
      <c r="D4">
        <v>450</v>
      </c>
      <c r="E4" t="s">
        <v>40</v>
      </c>
      <c r="F4" t="s">
        <v>41</v>
      </c>
    </row>
    <row r="5" spans="1:6" x14ac:dyDescent="0.35">
      <c r="A5" t="s">
        <v>45</v>
      </c>
      <c r="B5" t="s">
        <v>5</v>
      </c>
      <c r="C5" s="1">
        <v>44968</v>
      </c>
      <c r="D5">
        <v>80</v>
      </c>
      <c r="E5" t="s">
        <v>46</v>
      </c>
      <c r="F5" t="s">
        <v>41</v>
      </c>
    </row>
    <row r="6" spans="1:6" x14ac:dyDescent="0.35">
      <c r="A6" t="s">
        <v>47</v>
      </c>
      <c r="B6" t="s">
        <v>7</v>
      </c>
      <c r="C6" s="1">
        <v>44976</v>
      </c>
      <c r="D6">
        <v>600</v>
      </c>
      <c r="E6" t="s">
        <v>40</v>
      </c>
      <c r="F6" t="s">
        <v>48</v>
      </c>
    </row>
    <row r="7" spans="1:6" x14ac:dyDescent="0.35">
      <c r="A7" t="s">
        <v>49</v>
      </c>
      <c r="B7" t="s">
        <v>0</v>
      </c>
      <c r="C7" s="1">
        <v>44990</v>
      </c>
      <c r="D7">
        <v>150</v>
      </c>
      <c r="E7" t="s">
        <v>43</v>
      </c>
      <c r="F7" t="s">
        <v>41</v>
      </c>
    </row>
    <row r="8" spans="1:6" x14ac:dyDescent="0.35">
      <c r="A8" t="s">
        <v>50</v>
      </c>
      <c r="B8" t="s">
        <v>9</v>
      </c>
      <c r="C8" s="1">
        <v>44991</v>
      </c>
      <c r="D8">
        <v>200</v>
      </c>
      <c r="E8" t="s">
        <v>46</v>
      </c>
      <c r="F8" t="s">
        <v>41</v>
      </c>
    </row>
    <row r="9" spans="1:6" x14ac:dyDescent="0.35">
      <c r="A9" t="s">
        <v>51</v>
      </c>
      <c r="B9" t="s">
        <v>5</v>
      </c>
      <c r="C9" s="1">
        <v>45000</v>
      </c>
      <c r="D9">
        <v>120</v>
      </c>
      <c r="E9" t="s">
        <v>46</v>
      </c>
      <c r="F9" t="s">
        <v>41</v>
      </c>
    </row>
    <row r="10" spans="1:6" x14ac:dyDescent="0.35">
      <c r="A10" t="s">
        <v>52</v>
      </c>
      <c r="B10" t="s">
        <v>10</v>
      </c>
      <c r="C10" s="1">
        <v>45010</v>
      </c>
      <c r="D10">
        <v>90</v>
      </c>
      <c r="E10" t="s">
        <v>43</v>
      </c>
      <c r="F10" t="s">
        <v>41</v>
      </c>
    </row>
    <row r="11" spans="1:6" x14ac:dyDescent="0.35">
      <c r="A11" t="s">
        <v>53</v>
      </c>
      <c r="B11" t="s">
        <v>2</v>
      </c>
      <c r="C11" s="1">
        <v>45018</v>
      </c>
      <c r="D11">
        <v>300</v>
      </c>
      <c r="E11" t="s">
        <v>40</v>
      </c>
      <c r="F11" t="s">
        <v>41</v>
      </c>
    </row>
    <row r="12" spans="1:6" x14ac:dyDescent="0.35">
      <c r="A12" t="s">
        <v>54</v>
      </c>
      <c r="B12" t="s">
        <v>11</v>
      </c>
      <c r="C12" s="1">
        <v>45028</v>
      </c>
      <c r="D12">
        <v>400</v>
      </c>
      <c r="E12" t="s">
        <v>40</v>
      </c>
      <c r="F12" t="s">
        <v>41</v>
      </c>
    </row>
    <row r="13" spans="1:6" x14ac:dyDescent="0.35">
      <c r="A13" t="s">
        <v>55</v>
      </c>
      <c r="B13" t="s">
        <v>0</v>
      </c>
      <c r="C13" s="1">
        <v>45036</v>
      </c>
      <c r="D13">
        <v>250</v>
      </c>
      <c r="E13" t="s">
        <v>43</v>
      </c>
      <c r="F13" t="s">
        <v>41</v>
      </c>
    </row>
    <row r="14" spans="1:6" x14ac:dyDescent="0.35">
      <c r="A14" t="s">
        <v>56</v>
      </c>
      <c r="B14" t="s">
        <v>5</v>
      </c>
      <c r="C14" s="1">
        <v>45041</v>
      </c>
      <c r="D14">
        <v>150</v>
      </c>
      <c r="E14" t="s">
        <v>46</v>
      </c>
      <c r="F14" t="s">
        <v>48</v>
      </c>
    </row>
    <row r="15" spans="1:6" x14ac:dyDescent="0.35">
      <c r="A15" t="s">
        <v>57</v>
      </c>
      <c r="B15" t="s">
        <v>12</v>
      </c>
      <c r="C15" s="1">
        <v>45048</v>
      </c>
      <c r="D15">
        <v>500</v>
      </c>
      <c r="E15" t="s">
        <v>40</v>
      </c>
      <c r="F15" t="s">
        <v>41</v>
      </c>
    </row>
    <row r="16" spans="1:6" x14ac:dyDescent="0.35">
      <c r="A16" t="s">
        <v>58</v>
      </c>
      <c r="B16" t="s">
        <v>13</v>
      </c>
      <c r="C16" s="1">
        <v>45061</v>
      </c>
      <c r="D16">
        <v>120</v>
      </c>
      <c r="E16" t="s">
        <v>43</v>
      </c>
      <c r="F16" t="s">
        <v>41</v>
      </c>
    </row>
    <row r="17" spans="1:6" x14ac:dyDescent="0.35">
      <c r="A17" t="s">
        <v>59</v>
      </c>
      <c r="B17" t="s">
        <v>14</v>
      </c>
      <c r="C17" s="1">
        <v>45074</v>
      </c>
      <c r="D17">
        <v>80</v>
      </c>
      <c r="E17" t="s">
        <v>46</v>
      </c>
      <c r="F17" t="s">
        <v>41</v>
      </c>
    </row>
    <row r="18" spans="1:6" x14ac:dyDescent="0.35">
      <c r="A18" t="s">
        <v>60</v>
      </c>
      <c r="B18" t="s">
        <v>9</v>
      </c>
      <c r="C18" s="1">
        <v>45078</v>
      </c>
      <c r="D18">
        <v>250</v>
      </c>
      <c r="E18" t="s">
        <v>46</v>
      </c>
      <c r="F18" t="s">
        <v>41</v>
      </c>
    </row>
    <row r="19" spans="1:6" x14ac:dyDescent="0.35">
      <c r="A19" t="s">
        <v>61</v>
      </c>
      <c r="B19" t="s">
        <v>15</v>
      </c>
      <c r="C19" s="1">
        <v>45087</v>
      </c>
      <c r="D19">
        <v>600</v>
      </c>
      <c r="E19" t="s">
        <v>40</v>
      </c>
      <c r="F19" t="s">
        <v>41</v>
      </c>
    </row>
    <row r="20" spans="1:6" x14ac:dyDescent="0.35">
      <c r="A20" t="s">
        <v>62</v>
      </c>
      <c r="B20" t="s">
        <v>16</v>
      </c>
      <c r="C20" s="1">
        <v>45097</v>
      </c>
      <c r="D20">
        <v>150</v>
      </c>
      <c r="E20" t="s">
        <v>43</v>
      </c>
      <c r="F20" t="s">
        <v>41</v>
      </c>
    </row>
    <row r="21" spans="1:6" x14ac:dyDescent="0.35">
      <c r="A21" t="s">
        <v>63</v>
      </c>
      <c r="B21" t="s">
        <v>0</v>
      </c>
      <c r="C21" s="1">
        <v>45102</v>
      </c>
      <c r="D21">
        <v>300</v>
      </c>
      <c r="E21" t="s">
        <v>40</v>
      </c>
      <c r="F21" t="s">
        <v>48</v>
      </c>
    </row>
    <row r="22" spans="1:6" x14ac:dyDescent="0.35">
      <c r="A22" t="s">
        <v>64</v>
      </c>
      <c r="B22" t="s">
        <v>11</v>
      </c>
      <c r="C22" s="1">
        <v>45112</v>
      </c>
      <c r="D22">
        <v>450</v>
      </c>
      <c r="E22" t="s">
        <v>40</v>
      </c>
      <c r="F22" t="s">
        <v>41</v>
      </c>
    </row>
    <row r="23" spans="1:6" x14ac:dyDescent="0.35">
      <c r="A23" t="s">
        <v>65</v>
      </c>
      <c r="B23" t="s">
        <v>17</v>
      </c>
      <c r="C23" s="1">
        <v>45112</v>
      </c>
      <c r="D23">
        <v>200</v>
      </c>
      <c r="E23" t="s">
        <v>46</v>
      </c>
      <c r="F23" t="s">
        <v>41</v>
      </c>
    </row>
    <row r="24" spans="1:6" x14ac:dyDescent="0.35">
      <c r="A24" t="s">
        <v>66</v>
      </c>
      <c r="B24" t="s">
        <v>5</v>
      </c>
      <c r="C24" s="1">
        <v>45125</v>
      </c>
      <c r="D24">
        <v>100</v>
      </c>
      <c r="E24" t="s">
        <v>46</v>
      </c>
      <c r="F24" t="s">
        <v>41</v>
      </c>
    </row>
    <row r="25" spans="1:6" x14ac:dyDescent="0.35">
      <c r="A25" t="s">
        <v>67</v>
      </c>
      <c r="B25" t="s">
        <v>18</v>
      </c>
      <c r="C25" s="1">
        <v>45129</v>
      </c>
      <c r="D25">
        <v>350</v>
      </c>
      <c r="E25" t="s">
        <v>40</v>
      </c>
      <c r="F25" t="s">
        <v>41</v>
      </c>
    </row>
    <row r="26" spans="1:6" x14ac:dyDescent="0.35">
      <c r="A26" t="s">
        <v>68</v>
      </c>
      <c r="B26" t="s">
        <v>14</v>
      </c>
      <c r="C26" s="1">
        <v>45143</v>
      </c>
      <c r="D26">
        <v>120</v>
      </c>
      <c r="E26" t="s">
        <v>46</v>
      </c>
      <c r="F26" t="s">
        <v>41</v>
      </c>
    </row>
    <row r="27" spans="1:6" x14ac:dyDescent="0.35">
      <c r="A27" t="s">
        <v>69</v>
      </c>
      <c r="B27" t="s">
        <v>19</v>
      </c>
      <c r="C27" s="1">
        <v>45150</v>
      </c>
      <c r="D27">
        <v>90</v>
      </c>
      <c r="E27" t="s">
        <v>43</v>
      </c>
      <c r="F27" t="s">
        <v>41</v>
      </c>
    </row>
    <row r="28" spans="1:6" x14ac:dyDescent="0.35">
      <c r="A28" t="s">
        <v>70</v>
      </c>
      <c r="B28" t="s">
        <v>2</v>
      </c>
      <c r="C28" s="1">
        <v>45158</v>
      </c>
      <c r="D28">
        <v>400</v>
      </c>
      <c r="E28" t="s">
        <v>40</v>
      </c>
      <c r="F28" t="s">
        <v>41</v>
      </c>
    </row>
    <row r="29" spans="1:6" x14ac:dyDescent="0.35">
      <c r="A29" t="s">
        <v>71</v>
      </c>
      <c r="B29" t="s">
        <v>20</v>
      </c>
      <c r="C29" s="1">
        <v>45166</v>
      </c>
      <c r="D29">
        <v>250</v>
      </c>
      <c r="E29" t="s">
        <v>43</v>
      </c>
      <c r="F29" t="s">
        <v>41</v>
      </c>
    </row>
    <row r="30" spans="1:6" x14ac:dyDescent="0.35">
      <c r="A30" t="s">
        <v>72</v>
      </c>
      <c r="B30" t="s">
        <v>9</v>
      </c>
      <c r="C30" s="1">
        <v>45171</v>
      </c>
      <c r="D30">
        <v>180</v>
      </c>
      <c r="E30" t="s">
        <v>46</v>
      </c>
      <c r="F30" t="s">
        <v>41</v>
      </c>
    </row>
    <row r="31" spans="1:6" x14ac:dyDescent="0.35">
      <c r="A31" t="s">
        <v>73</v>
      </c>
      <c r="B31" t="s">
        <v>21</v>
      </c>
      <c r="C31" s="1">
        <v>45177</v>
      </c>
      <c r="D31">
        <v>550</v>
      </c>
      <c r="E31" t="s">
        <v>40</v>
      </c>
      <c r="F31" t="s">
        <v>41</v>
      </c>
    </row>
    <row r="32" spans="1:6" x14ac:dyDescent="0.35">
      <c r="A32" t="s">
        <v>74</v>
      </c>
      <c r="B32" t="s">
        <v>11</v>
      </c>
      <c r="C32" s="1">
        <v>45184</v>
      </c>
      <c r="D32">
        <v>300</v>
      </c>
      <c r="E32" t="s">
        <v>40</v>
      </c>
      <c r="F32" t="s">
        <v>48</v>
      </c>
    </row>
    <row r="33" spans="1:6" x14ac:dyDescent="0.35">
      <c r="A33" t="s">
        <v>75</v>
      </c>
      <c r="B33" t="s">
        <v>22</v>
      </c>
      <c r="C33" s="1">
        <v>45191</v>
      </c>
      <c r="D33">
        <v>150</v>
      </c>
      <c r="E33" t="s">
        <v>46</v>
      </c>
      <c r="F33" t="s">
        <v>41</v>
      </c>
    </row>
    <row r="34" spans="1:6" x14ac:dyDescent="0.35">
      <c r="A34" t="s">
        <v>76</v>
      </c>
      <c r="B34" t="s">
        <v>0</v>
      </c>
      <c r="C34" s="1">
        <v>45204</v>
      </c>
      <c r="D34">
        <v>200</v>
      </c>
      <c r="E34" t="s">
        <v>43</v>
      </c>
      <c r="F34" t="s">
        <v>41</v>
      </c>
    </row>
    <row r="35" spans="1:6" x14ac:dyDescent="0.35">
      <c r="A35" t="s">
        <v>77</v>
      </c>
      <c r="B35" t="s">
        <v>23</v>
      </c>
      <c r="C35" s="1">
        <v>45211</v>
      </c>
      <c r="D35">
        <v>800</v>
      </c>
      <c r="E35" t="s">
        <v>40</v>
      </c>
      <c r="F35" t="s">
        <v>41</v>
      </c>
    </row>
    <row r="36" spans="1:6" x14ac:dyDescent="0.35">
      <c r="A36" t="s">
        <v>78</v>
      </c>
      <c r="B36" t="s">
        <v>14</v>
      </c>
      <c r="C36" s="1">
        <v>45219</v>
      </c>
      <c r="D36">
        <v>100</v>
      </c>
      <c r="E36" t="s">
        <v>46</v>
      </c>
      <c r="F36" t="s">
        <v>41</v>
      </c>
    </row>
    <row r="37" spans="1:6" x14ac:dyDescent="0.35">
      <c r="A37" t="s">
        <v>79</v>
      </c>
      <c r="B37" t="s">
        <v>24</v>
      </c>
      <c r="C37" s="1">
        <v>45227</v>
      </c>
      <c r="D37">
        <v>120</v>
      </c>
      <c r="E37" t="s">
        <v>43</v>
      </c>
      <c r="F37" t="s">
        <v>41</v>
      </c>
    </row>
    <row r="38" spans="1:6" x14ac:dyDescent="0.35">
      <c r="A38" t="s">
        <v>80</v>
      </c>
      <c r="B38" t="s">
        <v>5</v>
      </c>
      <c r="C38" s="1">
        <v>45235</v>
      </c>
      <c r="D38">
        <v>150</v>
      </c>
      <c r="E38" t="s">
        <v>46</v>
      </c>
      <c r="F38" t="s">
        <v>41</v>
      </c>
    </row>
    <row r="39" spans="1:6" x14ac:dyDescent="0.35">
      <c r="A39" t="s">
        <v>81</v>
      </c>
      <c r="B39" t="s">
        <v>19</v>
      </c>
      <c r="C39" s="1">
        <v>45242</v>
      </c>
      <c r="D39">
        <v>250</v>
      </c>
      <c r="E39" t="s">
        <v>43</v>
      </c>
      <c r="F39" t="s">
        <v>41</v>
      </c>
    </row>
    <row r="40" spans="1:6" x14ac:dyDescent="0.35">
      <c r="A40" t="s">
        <v>82</v>
      </c>
      <c r="B40" t="s">
        <v>22</v>
      </c>
      <c r="C40" s="1">
        <v>45248</v>
      </c>
      <c r="D40">
        <v>200</v>
      </c>
      <c r="E40" t="s">
        <v>46</v>
      </c>
      <c r="F40" t="s">
        <v>41</v>
      </c>
    </row>
    <row r="41" spans="1:6" x14ac:dyDescent="0.35">
      <c r="A41" t="s">
        <v>83</v>
      </c>
      <c r="B41" t="s">
        <v>18</v>
      </c>
      <c r="C41" s="1">
        <v>45255</v>
      </c>
      <c r="D41">
        <v>400</v>
      </c>
      <c r="E41" t="s">
        <v>40</v>
      </c>
      <c r="F41" t="s">
        <v>41</v>
      </c>
    </row>
    <row r="42" spans="1:6" x14ac:dyDescent="0.35">
      <c r="A42" t="s">
        <v>84</v>
      </c>
      <c r="B42" t="s">
        <v>23</v>
      </c>
      <c r="C42" s="1">
        <v>45260</v>
      </c>
      <c r="D42">
        <v>350</v>
      </c>
      <c r="E42" t="s">
        <v>40</v>
      </c>
      <c r="F42" t="s">
        <v>48</v>
      </c>
    </row>
    <row r="43" spans="1:6" x14ac:dyDescent="0.35">
      <c r="A43" t="s">
        <v>85</v>
      </c>
      <c r="B43" t="s">
        <v>9</v>
      </c>
      <c r="C43" s="1">
        <v>45265</v>
      </c>
      <c r="D43">
        <v>220</v>
      </c>
      <c r="E43" t="s">
        <v>46</v>
      </c>
      <c r="F43" t="s">
        <v>41</v>
      </c>
    </row>
    <row r="44" spans="1:6" x14ac:dyDescent="0.35">
      <c r="A44" t="s">
        <v>86</v>
      </c>
      <c r="B44" t="s">
        <v>0</v>
      </c>
      <c r="C44" s="1">
        <v>45270</v>
      </c>
      <c r="D44">
        <v>300</v>
      </c>
      <c r="E44" t="s">
        <v>40</v>
      </c>
      <c r="F44" t="s">
        <v>41</v>
      </c>
    </row>
    <row r="45" spans="1:6" x14ac:dyDescent="0.35">
      <c r="A45" t="s">
        <v>87</v>
      </c>
      <c r="B45" t="s">
        <v>24</v>
      </c>
      <c r="C45" s="1">
        <v>45275</v>
      </c>
      <c r="D45">
        <v>150</v>
      </c>
      <c r="E45" t="s">
        <v>43</v>
      </c>
      <c r="F45" t="s">
        <v>41</v>
      </c>
    </row>
    <row r="46" spans="1:6" x14ac:dyDescent="0.35">
      <c r="A46" t="s">
        <v>88</v>
      </c>
      <c r="B46" t="s">
        <v>14</v>
      </c>
      <c r="C46" s="1">
        <v>45278</v>
      </c>
      <c r="D46">
        <v>130</v>
      </c>
      <c r="E46" t="s">
        <v>46</v>
      </c>
      <c r="F46" t="s">
        <v>41</v>
      </c>
    </row>
    <row r="47" spans="1:6" x14ac:dyDescent="0.35">
      <c r="A47" t="s">
        <v>89</v>
      </c>
      <c r="B47" t="s">
        <v>19</v>
      </c>
      <c r="C47" s="1">
        <v>45280</v>
      </c>
      <c r="D47">
        <v>180</v>
      </c>
      <c r="E47" t="s">
        <v>43</v>
      </c>
      <c r="F47" t="s">
        <v>41</v>
      </c>
    </row>
    <row r="48" spans="1:6" x14ac:dyDescent="0.35">
      <c r="A48" t="s">
        <v>90</v>
      </c>
      <c r="B48" t="s">
        <v>22</v>
      </c>
      <c r="C48" s="1">
        <v>45282</v>
      </c>
      <c r="D48">
        <v>250</v>
      </c>
      <c r="E48" t="s">
        <v>46</v>
      </c>
      <c r="F48" t="s">
        <v>41</v>
      </c>
    </row>
    <row r="49" spans="1:6" x14ac:dyDescent="0.35">
      <c r="A49" t="s">
        <v>91</v>
      </c>
      <c r="B49" t="s">
        <v>5</v>
      </c>
      <c r="C49" s="1">
        <v>45288</v>
      </c>
      <c r="D49">
        <v>120</v>
      </c>
      <c r="E49" t="s">
        <v>46</v>
      </c>
      <c r="F49" t="s">
        <v>48</v>
      </c>
    </row>
    <row r="50" spans="1:6" x14ac:dyDescent="0.35">
      <c r="A50" t="s">
        <v>92</v>
      </c>
      <c r="B50" t="s">
        <v>18</v>
      </c>
      <c r="C50" s="1">
        <v>45289</v>
      </c>
      <c r="D50">
        <v>450</v>
      </c>
      <c r="E50" t="s">
        <v>40</v>
      </c>
      <c r="F50" t="s">
        <v>41</v>
      </c>
    </row>
    <row r="51" spans="1:6" x14ac:dyDescent="0.35">
      <c r="A51" t="s">
        <v>93</v>
      </c>
      <c r="B51" t="s">
        <v>23</v>
      </c>
      <c r="C51" s="1">
        <v>45290</v>
      </c>
      <c r="D51">
        <v>500</v>
      </c>
      <c r="E51" t="s">
        <v>40</v>
      </c>
      <c r="F51"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D99C0-3E08-42D5-BB6D-0F26C5ADC239}">
  <dimension ref="A1:F21"/>
  <sheetViews>
    <sheetView workbookViewId="0">
      <selection activeCell="C1" sqref="C1"/>
    </sheetView>
  </sheetViews>
  <sheetFormatPr defaultRowHeight="14.5" x14ac:dyDescent="0.35"/>
  <cols>
    <col min="1" max="1" width="13.7265625" bestFit="1" customWidth="1"/>
    <col min="2" max="2" width="18.26953125" bestFit="1" customWidth="1"/>
    <col min="3" max="3" width="20.81640625" bestFit="1" customWidth="1"/>
    <col min="4" max="4" width="16.26953125" bestFit="1" customWidth="1"/>
    <col min="5" max="5" width="10" bestFit="1" customWidth="1"/>
    <col min="6" max="6" width="20" bestFit="1" customWidth="1"/>
    <col min="7" max="7" width="11.7265625" bestFit="1" customWidth="1"/>
    <col min="8" max="8" width="16.81640625" bestFit="1" customWidth="1"/>
    <col min="9" max="9" width="18.1796875" bestFit="1" customWidth="1"/>
    <col min="10" max="10" width="16.26953125" bestFit="1" customWidth="1"/>
    <col min="11" max="11" width="6.453125" bestFit="1" customWidth="1"/>
    <col min="12" max="12" width="21.54296875" bestFit="1" customWidth="1"/>
  </cols>
  <sheetData>
    <row r="1" spans="1:6" x14ac:dyDescent="0.35">
      <c r="A1" t="s">
        <v>25</v>
      </c>
      <c r="B1" t="s">
        <v>26</v>
      </c>
      <c r="C1" t="s">
        <v>27</v>
      </c>
      <c r="D1" t="s">
        <v>28</v>
      </c>
      <c r="E1" t="s">
        <v>29</v>
      </c>
      <c r="F1" t="s">
        <v>30</v>
      </c>
    </row>
    <row r="2" spans="1:6" x14ac:dyDescent="0.35">
      <c r="A2" t="s">
        <v>0</v>
      </c>
      <c r="B2" s="1">
        <v>44941</v>
      </c>
      <c r="C2" t="s">
        <v>1</v>
      </c>
      <c r="D2">
        <v>150</v>
      </c>
      <c r="E2" t="s">
        <v>31</v>
      </c>
      <c r="F2" t="s">
        <v>32</v>
      </c>
    </row>
    <row r="3" spans="1:6" x14ac:dyDescent="0.35">
      <c r="A3" t="s">
        <v>2</v>
      </c>
      <c r="B3" s="1">
        <v>44946</v>
      </c>
      <c r="C3" t="s">
        <v>3</v>
      </c>
      <c r="D3">
        <v>0</v>
      </c>
      <c r="E3" t="s">
        <v>4</v>
      </c>
      <c r="F3" t="s">
        <v>33</v>
      </c>
    </row>
    <row r="4" spans="1:6" x14ac:dyDescent="0.35">
      <c r="A4" t="s">
        <v>5</v>
      </c>
      <c r="B4" s="1">
        <v>44967</v>
      </c>
      <c r="C4" t="s">
        <v>6</v>
      </c>
      <c r="D4">
        <v>120</v>
      </c>
      <c r="E4" t="s">
        <v>31</v>
      </c>
      <c r="F4" t="s">
        <v>32</v>
      </c>
    </row>
    <row r="5" spans="1:6" x14ac:dyDescent="0.35">
      <c r="A5" t="s">
        <v>7</v>
      </c>
      <c r="B5" s="1">
        <v>44975</v>
      </c>
      <c r="C5" t="s">
        <v>8</v>
      </c>
      <c r="D5">
        <v>80</v>
      </c>
      <c r="E5" t="s">
        <v>4</v>
      </c>
      <c r="F5" t="s">
        <v>32</v>
      </c>
    </row>
    <row r="6" spans="1:6" x14ac:dyDescent="0.35">
      <c r="A6" t="s">
        <v>9</v>
      </c>
      <c r="B6" s="1">
        <v>44990</v>
      </c>
      <c r="C6" t="s">
        <v>1</v>
      </c>
      <c r="D6">
        <v>150</v>
      </c>
      <c r="E6" t="s">
        <v>31</v>
      </c>
      <c r="F6" t="s">
        <v>32</v>
      </c>
    </row>
    <row r="7" spans="1:6" x14ac:dyDescent="0.35">
      <c r="A7" t="s">
        <v>10</v>
      </c>
      <c r="B7" s="1">
        <v>45007</v>
      </c>
      <c r="C7" t="s">
        <v>3</v>
      </c>
      <c r="D7">
        <v>0</v>
      </c>
      <c r="E7" t="s">
        <v>31</v>
      </c>
      <c r="F7" t="s">
        <v>33</v>
      </c>
    </row>
    <row r="8" spans="1:6" x14ac:dyDescent="0.35">
      <c r="A8" t="s">
        <v>11</v>
      </c>
      <c r="B8" s="1">
        <v>45026</v>
      </c>
      <c r="C8" t="s">
        <v>6</v>
      </c>
      <c r="D8">
        <v>120</v>
      </c>
      <c r="E8" t="s">
        <v>4</v>
      </c>
      <c r="F8" t="s">
        <v>32</v>
      </c>
    </row>
    <row r="9" spans="1:6" x14ac:dyDescent="0.35">
      <c r="A9" t="s">
        <v>12</v>
      </c>
      <c r="B9" s="1">
        <v>45046</v>
      </c>
      <c r="C9" t="s">
        <v>8</v>
      </c>
      <c r="D9">
        <v>80</v>
      </c>
      <c r="E9" t="s">
        <v>31</v>
      </c>
      <c r="F9" t="s">
        <v>33</v>
      </c>
    </row>
    <row r="10" spans="1:6" x14ac:dyDescent="0.35">
      <c r="A10" t="s">
        <v>13</v>
      </c>
      <c r="B10" s="1">
        <v>45058</v>
      </c>
      <c r="C10" t="s">
        <v>1</v>
      </c>
      <c r="D10">
        <v>150</v>
      </c>
      <c r="E10" t="s">
        <v>4</v>
      </c>
      <c r="F10" t="s">
        <v>32</v>
      </c>
    </row>
    <row r="11" spans="1:6" x14ac:dyDescent="0.35">
      <c r="A11" t="s">
        <v>14</v>
      </c>
      <c r="B11" s="1">
        <v>45071</v>
      </c>
      <c r="C11" t="s">
        <v>3</v>
      </c>
      <c r="D11">
        <v>0</v>
      </c>
      <c r="E11" t="s">
        <v>31</v>
      </c>
      <c r="F11" t="s">
        <v>32</v>
      </c>
    </row>
    <row r="12" spans="1:6" x14ac:dyDescent="0.35">
      <c r="A12" t="s">
        <v>15</v>
      </c>
      <c r="B12" s="1">
        <v>45082</v>
      </c>
      <c r="C12" t="s">
        <v>6</v>
      </c>
      <c r="D12">
        <v>120</v>
      </c>
      <c r="E12" t="s">
        <v>4</v>
      </c>
      <c r="F12" t="s">
        <v>33</v>
      </c>
    </row>
    <row r="13" spans="1:6" x14ac:dyDescent="0.35">
      <c r="A13" t="s">
        <v>16</v>
      </c>
      <c r="B13" s="1">
        <v>45095</v>
      </c>
      <c r="C13" t="s">
        <v>8</v>
      </c>
      <c r="D13">
        <v>80</v>
      </c>
      <c r="E13" t="s">
        <v>31</v>
      </c>
      <c r="F13" t="s">
        <v>32</v>
      </c>
    </row>
    <row r="14" spans="1:6" x14ac:dyDescent="0.35">
      <c r="A14" t="s">
        <v>17</v>
      </c>
      <c r="B14" s="1">
        <v>45108</v>
      </c>
      <c r="C14" t="s">
        <v>1</v>
      </c>
      <c r="D14">
        <v>150</v>
      </c>
      <c r="E14" t="s">
        <v>31</v>
      </c>
      <c r="F14" t="s">
        <v>33</v>
      </c>
    </row>
    <row r="15" spans="1:6" x14ac:dyDescent="0.35">
      <c r="A15" t="s">
        <v>18</v>
      </c>
      <c r="B15" s="1">
        <v>45127</v>
      </c>
      <c r="C15" t="s">
        <v>6</v>
      </c>
      <c r="D15">
        <v>120</v>
      </c>
      <c r="E15" t="s">
        <v>4</v>
      </c>
      <c r="F15" t="s">
        <v>32</v>
      </c>
    </row>
    <row r="16" spans="1:6" x14ac:dyDescent="0.35">
      <c r="A16" t="s">
        <v>19</v>
      </c>
      <c r="B16" s="1">
        <v>45148</v>
      </c>
      <c r="C16" t="s">
        <v>3</v>
      </c>
      <c r="D16">
        <v>0</v>
      </c>
      <c r="E16" t="s">
        <v>31</v>
      </c>
      <c r="F16" t="s">
        <v>32</v>
      </c>
    </row>
    <row r="17" spans="1:6" x14ac:dyDescent="0.35">
      <c r="A17" t="s">
        <v>20</v>
      </c>
      <c r="B17" s="1">
        <v>45163</v>
      </c>
      <c r="C17" t="s">
        <v>1</v>
      </c>
      <c r="D17">
        <v>150</v>
      </c>
      <c r="E17" t="s">
        <v>4</v>
      </c>
      <c r="F17" t="s">
        <v>32</v>
      </c>
    </row>
    <row r="18" spans="1:6" x14ac:dyDescent="0.35">
      <c r="A18" t="s">
        <v>21</v>
      </c>
      <c r="B18" s="1">
        <v>45174</v>
      </c>
      <c r="C18" t="s">
        <v>8</v>
      </c>
      <c r="D18">
        <v>80</v>
      </c>
      <c r="E18" t="s">
        <v>31</v>
      </c>
      <c r="F18" t="s">
        <v>33</v>
      </c>
    </row>
    <row r="19" spans="1:6" x14ac:dyDescent="0.35">
      <c r="A19" t="s">
        <v>22</v>
      </c>
      <c r="B19" s="1">
        <v>45189</v>
      </c>
      <c r="C19" t="s">
        <v>6</v>
      </c>
      <c r="D19">
        <v>120</v>
      </c>
      <c r="E19" t="s">
        <v>31</v>
      </c>
      <c r="F19" t="s">
        <v>32</v>
      </c>
    </row>
    <row r="20" spans="1:6" x14ac:dyDescent="0.35">
      <c r="A20" t="s">
        <v>23</v>
      </c>
      <c r="B20" s="1">
        <v>45209</v>
      </c>
      <c r="C20" t="s">
        <v>3</v>
      </c>
      <c r="D20">
        <v>0</v>
      </c>
      <c r="E20" t="s">
        <v>4</v>
      </c>
      <c r="F20" t="s">
        <v>32</v>
      </c>
    </row>
    <row r="21" spans="1:6" x14ac:dyDescent="0.35">
      <c r="A21" t="s">
        <v>24</v>
      </c>
      <c r="B21" s="1">
        <v>45224</v>
      </c>
      <c r="C21" t="s">
        <v>1</v>
      </c>
      <c r="D21">
        <v>150</v>
      </c>
      <c r="E21" t="s">
        <v>31</v>
      </c>
      <c r="F21" t="s">
        <v>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8B3B7BA-87C9-4FB9-BB54-B967C57FDE4D}">
  <ds:schemaRefs/>
</ds:datastoreItem>
</file>

<file path=customXml/itemProps2.xml><?xml version="1.0" encoding="utf-8"?>
<ds:datastoreItem xmlns:ds="http://schemas.openxmlformats.org/officeDocument/2006/customXml" ds:itemID="{D02B7AF3-54A0-483C-9E9F-D318A439F28D}">
  <ds:schemaRefs/>
</ds:datastoreItem>
</file>

<file path=customXml/itemProps3.xml><?xml version="1.0" encoding="utf-8"?>
<ds:datastoreItem xmlns:ds="http://schemas.openxmlformats.org/officeDocument/2006/customXml" ds:itemID="{E8655079-22EC-47B2-820F-9625BE7B6DF4}">
  <ds:schemaRefs>
    <ds:schemaRef ds:uri="http://schemas.microsoft.com/DataMashup"/>
  </ds:schemaRefs>
</ds:datastoreItem>
</file>

<file path=customXml/itemProps4.xml><?xml version="1.0" encoding="utf-8"?>
<ds:datastoreItem xmlns:ds="http://schemas.openxmlformats.org/officeDocument/2006/customXml" ds:itemID="{902F81F1-5575-4B63-A493-36AFBB0D1AF5}">
  <ds:schemaRefs/>
</ds:datastoreItem>
</file>

<file path=customXml/itemProps5.xml><?xml version="1.0" encoding="utf-8"?>
<ds:datastoreItem xmlns:ds="http://schemas.openxmlformats.org/officeDocument/2006/customXml" ds:itemID="{66D36D62-DDBF-4D46-A057-6618D39F8DE5}">
  <ds:schemaRefs/>
</ds:datastoreItem>
</file>

<file path=customXml/itemProps6.xml><?xml version="1.0" encoding="utf-8"?>
<ds:datastoreItem xmlns:ds="http://schemas.openxmlformats.org/officeDocument/2006/customXml" ds:itemID="{A7939317-18C4-4ACE-BDFD-2BFA1B96CF2E}">
  <ds:schemaRefs/>
</ds:datastoreItem>
</file>

<file path=customXml/itemProps7.xml><?xml version="1.0" encoding="utf-8"?>
<ds:datastoreItem xmlns:ds="http://schemas.openxmlformats.org/officeDocument/2006/customXml" ds:itemID="{D1EB7E55-47A7-40F5-ACEE-A3AAAEF81183}">
  <ds:schemaRefs/>
</ds:datastoreItem>
</file>

<file path=customXml/itemProps8.xml><?xml version="1.0" encoding="utf-8"?>
<ds:datastoreItem xmlns:ds="http://schemas.openxmlformats.org/officeDocument/2006/customXml" ds:itemID="{B361E395-358C-4630-8D02-5B214E70893B}">
  <ds:schemaRefs/>
</ds:datastoreItem>
</file>

<file path=customXml/itemProps9.xml><?xml version="1.0" encoding="utf-8"?>
<ds:datastoreItem xmlns:ds="http://schemas.openxmlformats.org/officeDocument/2006/customXml" ds:itemID="{66AFE389-CA17-4FA6-A42B-96D20B4671F2}">
  <ds:schemaRefs/>
</ds:datastoreItem>
</file>

<file path=customXml/itemProps10.xml><?xml version="1.0" encoding="utf-8"?>
<ds:datastoreItem xmlns:ds="http://schemas.openxmlformats.org/officeDocument/2006/customXml" ds:itemID="{7B79AFAA-5472-4176-959F-AD1AAC4D4EB9}">
  <ds:schemaRefs/>
</ds:datastoreItem>
</file>

<file path=customXml/itemProps11.xml><?xml version="1.0" encoding="utf-8"?>
<ds:datastoreItem xmlns:ds="http://schemas.openxmlformats.org/officeDocument/2006/customXml" ds:itemID="{45C3CEF6-C9BA-422B-882D-EE4B2BC92179}">
  <ds:schemaRefs/>
</ds:datastoreItem>
</file>

<file path=customXml/itemProps12.xml><?xml version="1.0" encoding="utf-8"?>
<ds:datastoreItem xmlns:ds="http://schemas.openxmlformats.org/officeDocument/2006/customXml" ds:itemID="{9DA07CC4-F82A-428E-B033-4A660205B958}">
  <ds:schemaRefs/>
</ds:datastoreItem>
</file>

<file path=customXml/itemProps13.xml><?xml version="1.0" encoding="utf-8"?>
<ds:datastoreItem xmlns:ds="http://schemas.openxmlformats.org/officeDocument/2006/customXml" ds:itemID="{3AE5CA1F-34AC-45B2-BA03-4F97D3A26B9A}">
  <ds:schemaRefs/>
</ds:datastoreItem>
</file>

<file path=customXml/itemProps14.xml><?xml version="1.0" encoding="utf-8"?>
<ds:datastoreItem xmlns:ds="http://schemas.openxmlformats.org/officeDocument/2006/customXml" ds:itemID="{423CECF3-442B-4594-B654-54F9385C0678}">
  <ds:schemaRefs/>
</ds:datastoreItem>
</file>

<file path=customXml/itemProps15.xml><?xml version="1.0" encoding="utf-8"?>
<ds:datastoreItem xmlns:ds="http://schemas.openxmlformats.org/officeDocument/2006/customXml" ds:itemID="{444E0EBA-5516-451D-A967-46C7746776B3}">
  <ds:schemaRefs/>
</ds:datastoreItem>
</file>

<file path=customXml/itemProps16.xml><?xml version="1.0" encoding="utf-8"?>
<ds:datastoreItem xmlns:ds="http://schemas.openxmlformats.org/officeDocument/2006/customXml" ds:itemID="{3E32AACB-2127-40B3-BFDD-9653972E8FA9}">
  <ds:schemaRefs/>
</ds:datastoreItem>
</file>

<file path=customXml/itemProps17.xml><?xml version="1.0" encoding="utf-8"?>
<ds:datastoreItem xmlns:ds="http://schemas.openxmlformats.org/officeDocument/2006/customXml" ds:itemID="{0A586978-599B-48C0-AD09-0BCE39E146CB}">
  <ds:schemaRefs/>
</ds:datastoreItem>
</file>

<file path=customXml/itemProps18.xml><?xml version="1.0" encoding="utf-8"?>
<ds:datastoreItem xmlns:ds="http://schemas.openxmlformats.org/officeDocument/2006/customXml" ds:itemID="{096A7BC9-E9BF-4DFA-9656-99724E3780E9}">
  <ds:schemaRefs/>
</ds:datastoreItem>
</file>

<file path=customXml/itemProps19.xml><?xml version="1.0" encoding="utf-8"?>
<ds:datastoreItem xmlns:ds="http://schemas.openxmlformats.org/officeDocument/2006/customXml" ds:itemID="{50AB78CC-746B-4642-9117-93CF62A86B78}">
  <ds:schemaRefs/>
</ds:datastoreItem>
</file>

<file path=customXml/itemProps20.xml><?xml version="1.0" encoding="utf-8"?>
<ds:datastoreItem xmlns:ds="http://schemas.openxmlformats.org/officeDocument/2006/customXml" ds:itemID="{702B9AB3-9C94-4C8E-BD13-7786005C6DBA}">
  <ds:schemaRefs/>
</ds:datastoreItem>
</file>

<file path=customXml/itemProps21.xml><?xml version="1.0" encoding="utf-8"?>
<ds:datastoreItem xmlns:ds="http://schemas.openxmlformats.org/officeDocument/2006/customXml" ds:itemID="{926ED83F-9392-4993-B16B-A0B0D6BA41B9}">
  <ds:schemaRefs/>
</ds:datastoreItem>
</file>

<file path=customXml/itemProps22.xml><?xml version="1.0" encoding="utf-8"?>
<ds:datastoreItem xmlns:ds="http://schemas.openxmlformats.org/officeDocument/2006/customXml" ds:itemID="{D86EF38F-0528-4085-9C25-77FEC5C0417B}">
  <ds:schemaRefs/>
</ds:datastoreItem>
</file>

<file path=customXml/itemProps23.xml><?xml version="1.0" encoding="utf-8"?>
<ds:datastoreItem xmlns:ds="http://schemas.openxmlformats.org/officeDocument/2006/customXml" ds:itemID="{C4E1969E-AA84-4510-A533-C3BDCA2B2B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Analytics</vt:lpstr>
      <vt:lpstr>factTransactions</vt:lpstr>
      <vt:lpstr>dimClients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Michał Foit</dc:creator>
  <cp:lastModifiedBy>Michał Foit</cp:lastModifiedBy>
  <dcterms:created xsi:type="dcterms:W3CDTF">2015-06-05T18:17:20Z</dcterms:created>
  <dcterms:modified xsi:type="dcterms:W3CDTF">2026-04-15T00:46:05Z</dcterms:modified>
</cp:coreProperties>
</file>